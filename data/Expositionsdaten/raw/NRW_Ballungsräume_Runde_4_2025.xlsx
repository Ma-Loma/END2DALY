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LANUV\Abt4\Schallserver\Umgebungslaerm\ULK2022\Ergebnisdaten\Statistiken\"/>
    </mc:Choice>
  </mc:AlternateContent>
  <bookViews>
    <workbookView xWindow="0" yWindow="0" windowWidth="18300" windowHeight="12090"/>
  </bookViews>
  <sheets>
    <sheet name="aufsummierte Ergebnisse Runde 4" sheetId="52" r:id="rId1"/>
    <sheet name="Ergebnisse Runde 4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52" l="1"/>
  <c r="J9" i="52"/>
  <c r="H9" i="52"/>
  <c r="I8" i="52"/>
  <c r="J8" i="52"/>
  <c r="H8" i="52"/>
  <c r="I7" i="52"/>
  <c r="J7" i="52"/>
  <c r="H7" i="52"/>
  <c r="I5" i="52"/>
  <c r="J5" i="52"/>
  <c r="H5" i="52"/>
  <c r="I4" i="52"/>
  <c r="J4" i="52"/>
  <c r="H4" i="52"/>
  <c r="I3" i="52"/>
  <c r="J3" i="52"/>
  <c r="H3" i="52"/>
  <c r="CI29" i="1" l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</calcChain>
</file>

<file path=xl/sharedStrings.xml><?xml version="1.0" encoding="utf-8"?>
<sst xmlns="http://schemas.openxmlformats.org/spreadsheetml/2006/main" count="549" uniqueCount="90">
  <si>
    <t>Hauptverkehrsstraßen</t>
  </si>
  <si>
    <t>Lden5559</t>
  </si>
  <si>
    <t>Lden6064</t>
  </si>
  <si>
    <t>Lden6569</t>
  </si>
  <si>
    <t>Lden7074</t>
  </si>
  <si>
    <t>LdenAb75</t>
  </si>
  <si>
    <t>Lnight5054</t>
  </si>
  <si>
    <t>Lnight5559</t>
  </si>
  <si>
    <t>Lnight6064</t>
  </si>
  <si>
    <t>Lnight6569</t>
  </si>
  <si>
    <t>LnightAb70</t>
  </si>
  <si>
    <t>Zahl der Fälle starker Belästigung</t>
  </si>
  <si>
    <t>Zahl der Fälle starker Schlafstörung</t>
  </si>
  <si>
    <t>Zahl der Fälle ischämischer Herzkrankheiten</t>
  </si>
  <si>
    <t>alle Straßen inklusive Hauptverkehrsstraßen</t>
  </si>
  <si>
    <t>Haupteisenbahnstrecken</t>
  </si>
  <si>
    <t>alle Schienenwege inklusive Haupteisenbahnstrecken</t>
  </si>
  <si>
    <t>Großflughäfen</t>
  </si>
  <si>
    <t>alle Flugplätze inklusive Großflughäfen</t>
  </si>
  <si>
    <t>Industrieanlagen</t>
  </si>
  <si>
    <t>AG_1</t>
  </si>
  <si>
    <t>Köln</t>
  </si>
  <si>
    <t>AG_2</t>
  </si>
  <si>
    <t>AG_3</t>
  </si>
  <si>
    <t>AG_4</t>
  </si>
  <si>
    <t>AG_5</t>
  </si>
  <si>
    <t>AG_6</t>
  </si>
  <si>
    <t>AG_7</t>
  </si>
  <si>
    <t>AG_8</t>
  </si>
  <si>
    <t>AG_9</t>
  </si>
  <si>
    <t>AG_10</t>
  </si>
  <si>
    <t>AG_11</t>
  </si>
  <si>
    <t>AG_12</t>
  </si>
  <si>
    <t>AG_13</t>
  </si>
  <si>
    <t>AG_14</t>
  </si>
  <si>
    <t>AG_15</t>
  </si>
  <si>
    <t>Düsseldorf</t>
  </si>
  <si>
    <t>Dortmund</t>
  </si>
  <si>
    <t>Essen</t>
  </si>
  <si>
    <t>Duisburg</t>
  </si>
  <si>
    <t>LDEN ab 55</t>
  </si>
  <si>
    <t>LDEN ab 65</t>
  </si>
  <si>
    <t>LDEN ab 75</t>
  </si>
  <si>
    <t>AG_16</t>
  </si>
  <si>
    <t>AG_17</t>
  </si>
  <si>
    <t>AG_18</t>
  </si>
  <si>
    <t>AG_19</t>
  </si>
  <si>
    <t>AG_20</t>
  </si>
  <si>
    <t>AG_21</t>
  </si>
  <si>
    <t>AG_22</t>
  </si>
  <si>
    <t>AG_23</t>
  </si>
  <si>
    <t>AG_24</t>
  </si>
  <si>
    <t>AG_25</t>
  </si>
  <si>
    <t>AG_26</t>
  </si>
  <si>
    <t>Wuppertal</t>
  </si>
  <si>
    <t>Bochum</t>
  </si>
  <si>
    <t>Bielefeld</t>
  </si>
  <si>
    <t>Bonn</t>
  </si>
  <si>
    <t>Münster</t>
  </si>
  <si>
    <t>Gelsenkirchen</t>
  </si>
  <si>
    <t>Mönchengladbach</t>
  </si>
  <si>
    <t>Aachen</t>
  </si>
  <si>
    <t>Krefeld</t>
  </si>
  <si>
    <t>Oberhausen</t>
  </si>
  <si>
    <t>Hagen</t>
  </si>
  <si>
    <t>Leverkusen</t>
  </si>
  <si>
    <t>Solingen</t>
  </si>
  <si>
    <t>Herne</t>
  </si>
  <si>
    <t>Bottrop</t>
  </si>
  <si>
    <t>Recklinghausen</t>
  </si>
  <si>
    <t>Bergisch Gladbach</t>
  </si>
  <si>
    <t>Remscheid</t>
  </si>
  <si>
    <t>Moers</t>
  </si>
  <si>
    <t>Mülheim</t>
  </si>
  <si>
    <t>Neuss</t>
  </si>
  <si>
    <t>Summe</t>
  </si>
  <si>
    <t>Ballungsräume</t>
  </si>
  <si>
    <t>sonstige Schienenwege</t>
  </si>
  <si>
    <t>sonstige Flugplätze</t>
  </si>
  <si>
    <t>nicht-Ballungsräume</t>
  </si>
  <si>
    <t>Gesamt NRW</t>
  </si>
  <si>
    <t>Hauptverkehrsstraßen LDEN ab 65 dB(A)</t>
  </si>
  <si>
    <t>sonstige Schienenwege LDEN ab 65 dB(A)</t>
  </si>
  <si>
    <t>Großflughäfen LDEN ab 65 dB(A)</t>
  </si>
  <si>
    <t>Großflughäfen LNight ab 55 dB(A)</t>
  </si>
  <si>
    <t>sonstige Schienenwege LNight ab 55 dB(A)</t>
  </si>
  <si>
    <t>Hauptverkehrsstraßen LNight ab 55 dB(A)</t>
  </si>
  <si>
    <t>Anzahl der belasteten Personen</t>
  </si>
  <si>
    <t>Runde 4</t>
  </si>
  <si>
    <t>Ergebnisse Runde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</si>
</sst>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1" fontId="0" fillId="0" borderId="0" xfId="0" applyNumberFormat="1" applyFill="1" applyProtection="1">
      <protection locked="0"/>
    </xf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2" fillId="0" borderId="0" xfId="0" applyNumberFormat="1" applyFont="1"/>
    <xf numFmtId="0" fontId="5" fillId="0" borderId="0" xfId="0" applyFont="1"/>
    <xf numFmtId="0" fontId="0" fillId="2" borderId="0" xfId="0" applyFill="1"/>
    <xf numFmtId="3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workbookViewId="0">
      <selection activeCell="E14" sqref="E14"/>
    </sheetView>
  </sheetViews>
  <sheetFormatPr baseColWidth="10" defaultRowHeight="14.5" x14ac:dyDescent="0.35"/>
  <cols>
    <col min="1" max="1" width="31.26953125" customWidth="1"/>
    <col min="2" max="2" width="40.81640625" customWidth="1"/>
    <col min="3" max="3" width="15.453125" customWidth="1"/>
    <col min="4" max="4" width="20.54296875" customWidth="1"/>
    <col min="5" max="5" width="15" customWidth="1"/>
    <col min="7" max="7" width="43.26953125" customWidth="1"/>
    <col min="8" max="8" width="18.26953125" customWidth="1"/>
    <col min="9" max="9" width="25" customWidth="1"/>
    <col min="10" max="10" width="16.54296875" customWidth="1"/>
  </cols>
  <sheetData>
    <row r="1" spans="1:10" s="4" customFormat="1" ht="21" x14ac:dyDescent="0.5">
      <c r="A1" s="11" t="s">
        <v>89</v>
      </c>
      <c r="C1" s="4" t="s">
        <v>87</v>
      </c>
      <c r="H1" s="9" t="s">
        <v>87</v>
      </c>
    </row>
    <row r="2" spans="1:10" s="2" customFormat="1" ht="18.5" x14ac:dyDescent="0.45">
      <c r="C2" s="2" t="s">
        <v>76</v>
      </c>
      <c r="D2" s="2" t="s">
        <v>79</v>
      </c>
      <c r="E2" s="12" t="s">
        <v>80</v>
      </c>
      <c r="H2" s="9" t="s">
        <v>76</v>
      </c>
      <c r="I2" s="9" t="s">
        <v>79</v>
      </c>
      <c r="J2" s="9" t="s">
        <v>80</v>
      </c>
    </row>
    <row r="3" spans="1:10" ht="15.5" x14ac:dyDescent="0.35">
      <c r="A3" s="2" t="s">
        <v>0</v>
      </c>
      <c r="B3" s="2" t="s">
        <v>1</v>
      </c>
      <c r="C3" s="6">
        <v>913000</v>
      </c>
      <c r="D3" s="6">
        <v>712900</v>
      </c>
      <c r="E3" s="13">
        <v>1625900</v>
      </c>
      <c r="G3" s="8" t="s">
        <v>81</v>
      </c>
      <c r="H3" s="10">
        <f>C5+C6+C7</f>
        <v>740900</v>
      </c>
      <c r="I3" s="10">
        <f t="shared" ref="I3:J3" si="0">D5+D6+D7</f>
        <v>344300</v>
      </c>
      <c r="J3" s="10">
        <f t="shared" si="0"/>
        <v>1085200</v>
      </c>
    </row>
    <row r="4" spans="1:10" ht="15.5" x14ac:dyDescent="0.35">
      <c r="A4" s="2" t="s">
        <v>0</v>
      </c>
      <c r="B4" s="2" t="s">
        <v>2</v>
      </c>
      <c r="C4" s="6">
        <v>534900</v>
      </c>
      <c r="D4" s="6">
        <v>310700</v>
      </c>
      <c r="E4" s="13">
        <v>845600</v>
      </c>
      <c r="G4" s="8" t="s">
        <v>82</v>
      </c>
      <c r="H4" s="10">
        <f>C31+C32+C33</f>
        <v>106200</v>
      </c>
      <c r="I4" s="10">
        <f t="shared" ref="I4:J4" si="1">D31+D32+D33</f>
        <v>100</v>
      </c>
      <c r="J4" s="10">
        <f t="shared" si="1"/>
        <v>106300</v>
      </c>
    </row>
    <row r="5" spans="1:10" ht="15.5" x14ac:dyDescent="0.35">
      <c r="A5" s="2" t="s">
        <v>0</v>
      </c>
      <c r="B5" s="2" t="s">
        <v>3</v>
      </c>
      <c r="C5" s="6">
        <v>406000</v>
      </c>
      <c r="D5" s="6">
        <v>207000</v>
      </c>
      <c r="E5" s="13">
        <v>613000</v>
      </c>
      <c r="G5" s="8" t="s">
        <v>83</v>
      </c>
      <c r="H5" s="10">
        <f>C43+C44+C45</f>
        <v>1600</v>
      </c>
      <c r="I5" s="10">
        <f t="shared" ref="I5:J5" si="2">D43+D44+D45</f>
        <v>3300</v>
      </c>
      <c r="J5" s="10">
        <f t="shared" si="2"/>
        <v>4900</v>
      </c>
    </row>
    <row r="6" spans="1:10" ht="15.5" x14ac:dyDescent="0.35">
      <c r="A6" s="2" t="s">
        <v>0</v>
      </c>
      <c r="B6" s="2" t="s">
        <v>4</v>
      </c>
      <c r="C6" s="6">
        <v>292000</v>
      </c>
      <c r="D6" s="6">
        <v>131500</v>
      </c>
      <c r="E6" s="13">
        <v>423500</v>
      </c>
      <c r="G6" s="8"/>
      <c r="H6" s="7"/>
      <c r="I6" s="7"/>
      <c r="J6" s="7"/>
    </row>
    <row r="7" spans="1:10" ht="15.5" x14ac:dyDescent="0.35">
      <c r="A7" s="2" t="s">
        <v>0</v>
      </c>
      <c r="B7" s="2" t="s">
        <v>5</v>
      </c>
      <c r="C7" s="6">
        <v>42900</v>
      </c>
      <c r="D7" s="6">
        <v>5800</v>
      </c>
      <c r="E7" s="13">
        <v>48700</v>
      </c>
      <c r="G7" s="8" t="s">
        <v>86</v>
      </c>
      <c r="H7" s="10">
        <f>C9+C10+C11+C12</f>
        <v>871200</v>
      </c>
      <c r="I7" s="10">
        <f t="shared" ref="I7:J7" si="3">D9+D10+D11+D12</f>
        <v>386900</v>
      </c>
      <c r="J7" s="10">
        <f t="shared" si="3"/>
        <v>1258100</v>
      </c>
    </row>
    <row r="8" spans="1:10" ht="15.5" x14ac:dyDescent="0.35">
      <c r="A8" s="2" t="s">
        <v>0</v>
      </c>
      <c r="B8" s="2" t="s">
        <v>6</v>
      </c>
      <c r="C8" s="6">
        <v>686600</v>
      </c>
      <c r="D8" s="6">
        <v>427600</v>
      </c>
      <c r="E8" s="13">
        <v>1114200</v>
      </c>
      <c r="G8" s="8" t="s">
        <v>85</v>
      </c>
      <c r="H8" s="10">
        <f>C35+C36+C37+C38</f>
        <v>148600</v>
      </c>
      <c r="I8" s="10">
        <f t="shared" ref="I8:J8" si="4">D35+D36+D37+D38</f>
        <v>500</v>
      </c>
      <c r="J8" s="10">
        <f t="shared" si="4"/>
        <v>149100</v>
      </c>
    </row>
    <row r="9" spans="1:10" ht="15.5" x14ac:dyDescent="0.35">
      <c r="A9" s="2" t="s">
        <v>0</v>
      </c>
      <c r="B9" s="2" t="s">
        <v>7</v>
      </c>
      <c r="C9" s="6">
        <v>478200</v>
      </c>
      <c r="D9" s="6">
        <v>241000</v>
      </c>
      <c r="E9" s="13">
        <v>719200</v>
      </c>
      <c r="G9" s="8" t="s">
        <v>84</v>
      </c>
      <c r="H9" s="10">
        <f>C47+C48+C49+C50</f>
        <v>9500</v>
      </c>
      <c r="I9" s="10">
        <f t="shared" ref="I9:J9" si="5">D47+D48+D49+D50</f>
        <v>10000</v>
      </c>
      <c r="J9" s="10">
        <f t="shared" si="5"/>
        <v>19500</v>
      </c>
    </row>
    <row r="10" spans="1:10" x14ac:dyDescent="0.35">
      <c r="A10" s="2" t="s">
        <v>0</v>
      </c>
      <c r="B10" s="2" t="s">
        <v>8</v>
      </c>
      <c r="C10" s="6">
        <v>326300</v>
      </c>
      <c r="D10" s="6">
        <v>137500</v>
      </c>
      <c r="E10" s="13">
        <v>463800</v>
      </c>
    </row>
    <row r="11" spans="1:10" x14ac:dyDescent="0.35">
      <c r="A11" s="2" t="s">
        <v>0</v>
      </c>
      <c r="B11" s="2" t="s">
        <v>9</v>
      </c>
      <c r="C11" s="6">
        <v>66100</v>
      </c>
      <c r="D11" s="6">
        <v>8200</v>
      </c>
      <c r="E11" s="13">
        <v>74300</v>
      </c>
    </row>
    <row r="12" spans="1:10" x14ac:dyDescent="0.35">
      <c r="A12" s="2" t="s">
        <v>0</v>
      </c>
      <c r="B12" s="2" t="s">
        <v>10</v>
      </c>
      <c r="C12" s="6">
        <v>600</v>
      </c>
      <c r="D12" s="6">
        <v>200</v>
      </c>
      <c r="E12" s="13">
        <v>800</v>
      </c>
    </row>
    <row r="13" spans="1:10" x14ac:dyDescent="0.35">
      <c r="A13" s="2" t="s">
        <v>0</v>
      </c>
      <c r="B13" s="2" t="s">
        <v>11</v>
      </c>
      <c r="C13" s="6">
        <v>479150</v>
      </c>
      <c r="D13" s="6">
        <v>235253</v>
      </c>
      <c r="E13" s="13">
        <v>714403</v>
      </c>
    </row>
    <row r="14" spans="1:10" x14ac:dyDescent="0.35">
      <c r="A14" s="2" t="s">
        <v>0</v>
      </c>
      <c r="B14" s="2" t="s">
        <v>12</v>
      </c>
      <c r="C14" s="6">
        <v>134143</v>
      </c>
      <c r="D14" s="6">
        <v>53288</v>
      </c>
      <c r="E14" s="13">
        <v>187431</v>
      </c>
    </row>
    <row r="15" spans="1:10" x14ac:dyDescent="0.35">
      <c r="A15" s="2" t="s">
        <v>0</v>
      </c>
      <c r="B15" s="2" t="s">
        <v>13</v>
      </c>
      <c r="C15" s="6">
        <v>1430</v>
      </c>
      <c r="D15" s="6">
        <v>456</v>
      </c>
      <c r="E15" s="13">
        <v>1886</v>
      </c>
    </row>
    <row r="16" spans="1:10" x14ac:dyDescent="0.35">
      <c r="A16" s="2" t="s">
        <v>14</v>
      </c>
      <c r="B16" s="2" t="s">
        <v>1</v>
      </c>
      <c r="C16" s="6">
        <v>1356200</v>
      </c>
      <c r="D16" s="6"/>
      <c r="E16" s="6"/>
    </row>
    <row r="17" spans="1:5" x14ac:dyDescent="0.35">
      <c r="A17" s="2" t="s">
        <v>14</v>
      </c>
      <c r="B17" s="2" t="s">
        <v>2</v>
      </c>
      <c r="C17" s="6">
        <v>1126400</v>
      </c>
      <c r="D17" s="6"/>
      <c r="E17" s="6"/>
    </row>
    <row r="18" spans="1:5" x14ac:dyDescent="0.35">
      <c r="A18" s="2" t="s">
        <v>14</v>
      </c>
      <c r="B18" s="2" t="s">
        <v>3</v>
      </c>
      <c r="C18" s="6">
        <v>852200</v>
      </c>
      <c r="D18" s="6"/>
      <c r="E18" s="6"/>
    </row>
    <row r="19" spans="1:5" x14ac:dyDescent="0.35">
      <c r="A19" s="2" t="s">
        <v>14</v>
      </c>
      <c r="B19" s="2" t="s">
        <v>4</v>
      </c>
      <c r="C19" s="6">
        <v>447800</v>
      </c>
      <c r="D19" s="6"/>
      <c r="E19" s="6"/>
    </row>
    <row r="20" spans="1:5" x14ac:dyDescent="0.35">
      <c r="A20" s="2" t="s">
        <v>14</v>
      </c>
      <c r="B20" s="2" t="s">
        <v>5</v>
      </c>
      <c r="C20" s="6">
        <v>55600</v>
      </c>
      <c r="D20" s="6"/>
      <c r="E20" s="6"/>
    </row>
    <row r="21" spans="1:5" x14ac:dyDescent="0.35">
      <c r="A21" s="2" t="s">
        <v>14</v>
      </c>
      <c r="B21" s="2" t="s">
        <v>6</v>
      </c>
      <c r="C21" s="6">
        <v>1250500</v>
      </c>
      <c r="D21" s="6"/>
      <c r="E21" s="6"/>
    </row>
    <row r="22" spans="1:5" x14ac:dyDescent="0.35">
      <c r="A22" s="2" t="s">
        <v>14</v>
      </c>
      <c r="B22" s="2" t="s">
        <v>7</v>
      </c>
      <c r="C22" s="6">
        <v>943800</v>
      </c>
      <c r="D22" s="6"/>
      <c r="E22" s="6"/>
    </row>
    <row r="23" spans="1:5" x14ac:dyDescent="0.35">
      <c r="A23" s="2" t="s">
        <v>14</v>
      </c>
      <c r="B23" s="2" t="s">
        <v>8</v>
      </c>
      <c r="C23" s="6">
        <v>507500</v>
      </c>
      <c r="D23" s="6"/>
      <c r="E23" s="6"/>
    </row>
    <row r="24" spans="1:5" x14ac:dyDescent="0.35">
      <c r="A24" s="2" t="s">
        <v>14</v>
      </c>
      <c r="B24" s="2" t="s">
        <v>9</v>
      </c>
      <c r="C24" s="6">
        <v>79000</v>
      </c>
      <c r="D24" s="6"/>
      <c r="E24" s="6"/>
    </row>
    <row r="25" spans="1:5" x14ac:dyDescent="0.35">
      <c r="A25" s="2" t="s">
        <v>14</v>
      </c>
      <c r="B25" s="2" t="s">
        <v>10</v>
      </c>
      <c r="C25" s="6">
        <v>800</v>
      </c>
      <c r="D25" s="6"/>
      <c r="E25" s="6"/>
    </row>
    <row r="26" spans="1:5" x14ac:dyDescent="0.35">
      <c r="A26" s="2" t="s">
        <v>14</v>
      </c>
      <c r="B26" s="2" t="s">
        <v>11</v>
      </c>
      <c r="C26" s="6">
        <v>786377</v>
      </c>
      <c r="D26" s="6"/>
      <c r="E26" s="6"/>
    </row>
    <row r="27" spans="1:5" x14ac:dyDescent="0.35">
      <c r="A27" s="2" t="s">
        <v>14</v>
      </c>
      <c r="B27" s="2" t="s">
        <v>12</v>
      </c>
      <c r="C27" s="6">
        <v>211482</v>
      </c>
      <c r="D27" s="6"/>
      <c r="E27" s="6"/>
    </row>
    <row r="28" spans="1:5" x14ac:dyDescent="0.35">
      <c r="A28" s="2" t="s">
        <v>14</v>
      </c>
      <c r="B28" s="2" t="s">
        <v>13</v>
      </c>
      <c r="C28" s="6">
        <v>2430</v>
      </c>
      <c r="D28" s="6"/>
      <c r="E28" s="6"/>
    </row>
    <row r="29" spans="1:5" x14ac:dyDescent="0.35">
      <c r="A29" s="2" t="s">
        <v>77</v>
      </c>
      <c r="B29" s="2" t="s">
        <v>1</v>
      </c>
      <c r="C29" s="6">
        <v>119500</v>
      </c>
      <c r="D29" s="6">
        <v>2800</v>
      </c>
      <c r="E29" s="13">
        <v>122300</v>
      </c>
    </row>
    <row r="30" spans="1:5" x14ac:dyDescent="0.35">
      <c r="A30" s="2" t="s">
        <v>77</v>
      </c>
      <c r="B30" s="2" t="s">
        <v>2</v>
      </c>
      <c r="C30" s="6">
        <v>115500</v>
      </c>
      <c r="D30" s="6">
        <v>800</v>
      </c>
      <c r="E30" s="13">
        <v>116300</v>
      </c>
    </row>
    <row r="31" spans="1:5" x14ac:dyDescent="0.35">
      <c r="A31" s="2" t="s">
        <v>77</v>
      </c>
      <c r="B31" s="2" t="s">
        <v>3</v>
      </c>
      <c r="C31" s="6">
        <v>89300</v>
      </c>
      <c r="D31" s="6">
        <v>100</v>
      </c>
      <c r="E31" s="13">
        <v>89400</v>
      </c>
    </row>
    <row r="32" spans="1:5" x14ac:dyDescent="0.35">
      <c r="A32" s="2" t="s">
        <v>77</v>
      </c>
      <c r="B32" s="2" t="s">
        <v>4</v>
      </c>
      <c r="C32" s="6">
        <v>16400</v>
      </c>
      <c r="D32" s="6">
        <v>0</v>
      </c>
      <c r="E32" s="13">
        <v>16400</v>
      </c>
    </row>
    <row r="33" spans="1:5" x14ac:dyDescent="0.35">
      <c r="A33" s="2" t="s">
        <v>77</v>
      </c>
      <c r="B33" s="2" t="s">
        <v>5</v>
      </c>
      <c r="C33" s="6">
        <v>500</v>
      </c>
      <c r="D33" s="6">
        <v>0</v>
      </c>
      <c r="E33" s="13">
        <v>500</v>
      </c>
    </row>
    <row r="34" spans="1:5" x14ac:dyDescent="0.35">
      <c r="A34" s="2" t="s">
        <v>77</v>
      </c>
      <c r="B34" s="2" t="s">
        <v>6</v>
      </c>
      <c r="C34" s="6">
        <v>121000</v>
      </c>
      <c r="D34" s="6">
        <v>1400</v>
      </c>
      <c r="E34" s="13">
        <v>122400</v>
      </c>
    </row>
    <row r="35" spans="1:5" x14ac:dyDescent="0.35">
      <c r="A35" s="2" t="s">
        <v>77</v>
      </c>
      <c r="B35" s="2" t="s">
        <v>7</v>
      </c>
      <c r="C35" s="6">
        <v>107000</v>
      </c>
      <c r="D35" s="6">
        <v>500</v>
      </c>
      <c r="E35" s="13">
        <v>107500</v>
      </c>
    </row>
    <row r="36" spans="1:5" x14ac:dyDescent="0.35">
      <c r="A36" s="2" t="s">
        <v>77</v>
      </c>
      <c r="B36" s="2" t="s">
        <v>8</v>
      </c>
      <c r="C36" s="6">
        <v>37700</v>
      </c>
      <c r="D36" s="6">
        <v>0</v>
      </c>
      <c r="E36" s="13">
        <v>37700</v>
      </c>
    </row>
    <row r="37" spans="1:5" x14ac:dyDescent="0.35">
      <c r="A37" s="2" t="s">
        <v>77</v>
      </c>
      <c r="B37" s="2" t="s">
        <v>9</v>
      </c>
      <c r="C37" s="6">
        <v>3900</v>
      </c>
      <c r="D37" s="6">
        <v>0</v>
      </c>
      <c r="E37" s="13">
        <v>3900</v>
      </c>
    </row>
    <row r="38" spans="1:5" x14ac:dyDescent="0.35">
      <c r="A38" s="2" t="s">
        <v>77</v>
      </c>
      <c r="B38" s="2" t="s">
        <v>10</v>
      </c>
      <c r="C38" s="6">
        <v>0</v>
      </c>
      <c r="D38" s="6">
        <v>0</v>
      </c>
      <c r="E38" s="13">
        <v>0</v>
      </c>
    </row>
    <row r="39" spans="1:5" x14ac:dyDescent="0.35">
      <c r="A39" s="2" t="s">
        <v>77</v>
      </c>
      <c r="B39" s="2" t="s">
        <v>11</v>
      </c>
      <c r="C39" s="6">
        <v>74569</v>
      </c>
      <c r="D39" s="6">
        <v>600</v>
      </c>
      <c r="E39" s="13">
        <v>75169</v>
      </c>
    </row>
    <row r="40" spans="1:5" x14ac:dyDescent="0.35">
      <c r="A40" s="2" t="s">
        <v>77</v>
      </c>
      <c r="B40" s="2" t="s">
        <v>12</v>
      </c>
      <c r="C40" s="6">
        <v>28699</v>
      </c>
      <c r="D40" s="6">
        <v>100</v>
      </c>
      <c r="E40" s="13">
        <v>28799</v>
      </c>
    </row>
    <row r="41" spans="1:5" x14ac:dyDescent="0.35">
      <c r="A41" s="2" t="s">
        <v>17</v>
      </c>
      <c r="B41" s="2" t="s">
        <v>1</v>
      </c>
      <c r="C41" s="6">
        <v>128000</v>
      </c>
      <c r="D41" s="6">
        <v>79400</v>
      </c>
      <c r="E41" s="13">
        <v>207400</v>
      </c>
    </row>
    <row r="42" spans="1:5" x14ac:dyDescent="0.35">
      <c r="A42" s="2" t="s">
        <v>17</v>
      </c>
      <c r="B42" s="2" t="s">
        <v>2</v>
      </c>
      <c r="C42" s="6">
        <v>17600</v>
      </c>
      <c r="D42" s="6">
        <v>25000</v>
      </c>
      <c r="E42" s="13">
        <v>42600</v>
      </c>
    </row>
    <row r="43" spans="1:5" x14ac:dyDescent="0.35">
      <c r="A43" s="2" t="s">
        <v>17</v>
      </c>
      <c r="B43" s="2" t="s">
        <v>3</v>
      </c>
      <c r="C43" s="6">
        <v>1100</v>
      </c>
      <c r="D43" s="6">
        <v>3300</v>
      </c>
      <c r="E43" s="13">
        <v>4400</v>
      </c>
    </row>
    <row r="44" spans="1:5" x14ac:dyDescent="0.35">
      <c r="A44" s="2" t="s">
        <v>17</v>
      </c>
      <c r="B44" s="2" t="s">
        <v>4</v>
      </c>
      <c r="C44" s="6">
        <v>500</v>
      </c>
      <c r="D44" s="6">
        <v>0</v>
      </c>
      <c r="E44" s="13">
        <v>500</v>
      </c>
    </row>
    <row r="45" spans="1:5" x14ac:dyDescent="0.35">
      <c r="A45" s="2" t="s">
        <v>17</v>
      </c>
      <c r="B45" s="2" t="s">
        <v>5</v>
      </c>
      <c r="C45" s="6">
        <v>0</v>
      </c>
      <c r="D45" s="6">
        <v>0</v>
      </c>
      <c r="E45" s="13">
        <v>0</v>
      </c>
    </row>
    <row r="46" spans="1:5" x14ac:dyDescent="0.35">
      <c r="A46" s="2" t="s">
        <v>17</v>
      </c>
      <c r="B46" s="2" t="s">
        <v>6</v>
      </c>
      <c r="C46" s="6">
        <v>70500</v>
      </c>
      <c r="D46" s="6">
        <v>43700</v>
      </c>
      <c r="E46" s="13">
        <v>114200</v>
      </c>
    </row>
    <row r="47" spans="1:5" x14ac:dyDescent="0.35">
      <c r="A47" s="2" t="s">
        <v>17</v>
      </c>
      <c r="B47" s="2" t="s">
        <v>7</v>
      </c>
      <c r="C47" s="6">
        <v>9300</v>
      </c>
      <c r="D47" s="6">
        <v>9700</v>
      </c>
      <c r="E47" s="13">
        <v>19000</v>
      </c>
    </row>
    <row r="48" spans="1:5" x14ac:dyDescent="0.35">
      <c r="A48" s="2" t="s">
        <v>17</v>
      </c>
      <c r="B48" s="2" t="s">
        <v>8</v>
      </c>
      <c r="C48" s="6">
        <v>200</v>
      </c>
      <c r="D48" s="6">
        <v>300</v>
      </c>
      <c r="E48" s="13">
        <v>500</v>
      </c>
    </row>
    <row r="49" spans="1:5" x14ac:dyDescent="0.35">
      <c r="A49" s="2" t="s">
        <v>17</v>
      </c>
      <c r="B49" s="2" t="s">
        <v>9</v>
      </c>
      <c r="C49" s="6">
        <v>0</v>
      </c>
      <c r="D49" s="6">
        <v>0</v>
      </c>
      <c r="E49" s="13">
        <v>0</v>
      </c>
    </row>
    <row r="50" spans="1:5" x14ac:dyDescent="0.35">
      <c r="A50" s="2" t="s">
        <v>17</v>
      </c>
      <c r="B50" s="2" t="s">
        <v>10</v>
      </c>
      <c r="C50" s="6">
        <v>0</v>
      </c>
      <c r="D50" s="6">
        <v>0</v>
      </c>
      <c r="E50" s="13">
        <v>0</v>
      </c>
    </row>
    <row r="51" spans="1:5" x14ac:dyDescent="0.35">
      <c r="A51" s="2" t="s">
        <v>17</v>
      </c>
      <c r="B51" s="2" t="s">
        <v>11</v>
      </c>
      <c r="C51" s="6">
        <v>46450</v>
      </c>
      <c r="D51" s="6">
        <v>35950</v>
      </c>
      <c r="E51" s="13">
        <v>82400</v>
      </c>
    </row>
    <row r="52" spans="1:5" x14ac:dyDescent="0.35">
      <c r="A52" s="2" t="s">
        <v>17</v>
      </c>
      <c r="B52" s="2" t="s">
        <v>12</v>
      </c>
      <c r="C52" s="6">
        <v>18260</v>
      </c>
      <c r="D52" s="6">
        <v>12440</v>
      </c>
      <c r="E52" s="13">
        <v>30700</v>
      </c>
    </row>
    <row r="53" spans="1:5" x14ac:dyDescent="0.35">
      <c r="A53" s="2" t="s">
        <v>78</v>
      </c>
      <c r="B53" s="2" t="s">
        <v>1</v>
      </c>
      <c r="C53" s="6">
        <v>1300</v>
      </c>
      <c r="D53" s="6"/>
      <c r="E53" s="6"/>
    </row>
    <row r="54" spans="1:5" x14ac:dyDescent="0.35">
      <c r="A54" s="2" t="s">
        <v>78</v>
      </c>
      <c r="B54" s="2" t="s">
        <v>2</v>
      </c>
      <c r="C54" s="6">
        <v>0</v>
      </c>
      <c r="D54" s="6"/>
      <c r="E54" s="6"/>
    </row>
    <row r="55" spans="1:5" x14ac:dyDescent="0.35">
      <c r="A55" s="2" t="s">
        <v>78</v>
      </c>
      <c r="B55" s="2" t="s">
        <v>3</v>
      </c>
      <c r="C55" s="6">
        <v>0</v>
      </c>
      <c r="D55" s="6"/>
      <c r="E55" s="6"/>
    </row>
    <row r="56" spans="1:5" x14ac:dyDescent="0.35">
      <c r="A56" s="2" t="s">
        <v>78</v>
      </c>
      <c r="B56" s="2" t="s">
        <v>4</v>
      </c>
      <c r="C56" s="6">
        <v>0</v>
      </c>
      <c r="D56" s="6"/>
      <c r="E56" s="6"/>
    </row>
    <row r="57" spans="1:5" x14ac:dyDescent="0.35">
      <c r="A57" s="2" t="s">
        <v>78</v>
      </c>
      <c r="B57" s="2" t="s">
        <v>5</v>
      </c>
      <c r="C57" s="6">
        <v>0</v>
      </c>
      <c r="D57" s="6"/>
      <c r="E57" s="6"/>
    </row>
    <row r="58" spans="1:5" x14ac:dyDescent="0.35">
      <c r="A58" s="2" t="s">
        <v>78</v>
      </c>
      <c r="B58" s="2" t="s">
        <v>6</v>
      </c>
      <c r="C58" s="6">
        <v>100</v>
      </c>
      <c r="D58" s="6"/>
      <c r="E58" s="6"/>
    </row>
    <row r="59" spans="1:5" x14ac:dyDescent="0.35">
      <c r="A59" s="2" t="s">
        <v>78</v>
      </c>
      <c r="B59" s="2" t="s">
        <v>7</v>
      </c>
      <c r="C59" s="6">
        <v>0</v>
      </c>
      <c r="D59" s="6"/>
      <c r="E59" s="6"/>
    </row>
    <row r="60" spans="1:5" x14ac:dyDescent="0.35">
      <c r="A60" s="2" t="s">
        <v>78</v>
      </c>
      <c r="B60" s="2" t="s">
        <v>8</v>
      </c>
      <c r="C60" s="6">
        <v>0</v>
      </c>
      <c r="D60" s="6"/>
      <c r="E60" s="6"/>
    </row>
    <row r="61" spans="1:5" x14ac:dyDescent="0.35">
      <c r="A61" s="2" t="s">
        <v>78</v>
      </c>
      <c r="B61" s="2" t="s">
        <v>9</v>
      </c>
      <c r="C61" s="6">
        <v>0</v>
      </c>
      <c r="D61" s="6"/>
      <c r="E61" s="6"/>
    </row>
    <row r="62" spans="1:5" x14ac:dyDescent="0.35">
      <c r="A62" s="2" t="s">
        <v>78</v>
      </c>
      <c r="B62" s="2" t="s">
        <v>10</v>
      </c>
      <c r="C62" s="6">
        <v>0</v>
      </c>
      <c r="D62" s="6"/>
      <c r="E62" s="6"/>
    </row>
    <row r="63" spans="1:5" x14ac:dyDescent="0.35">
      <c r="A63" s="2" t="s">
        <v>78</v>
      </c>
      <c r="B63" s="2" t="s">
        <v>11</v>
      </c>
      <c r="C63" s="6">
        <v>387</v>
      </c>
      <c r="D63" s="6"/>
      <c r="E63" s="6"/>
    </row>
    <row r="64" spans="1:5" x14ac:dyDescent="0.35">
      <c r="A64" s="2" t="s">
        <v>78</v>
      </c>
      <c r="B64" s="2" t="s">
        <v>12</v>
      </c>
      <c r="C64" s="6">
        <v>22</v>
      </c>
      <c r="D64" s="6"/>
      <c r="E64" s="6"/>
    </row>
    <row r="65" spans="1:5" x14ac:dyDescent="0.35">
      <c r="A65" s="2" t="s">
        <v>19</v>
      </c>
      <c r="B65" s="2" t="s">
        <v>1</v>
      </c>
      <c r="C65" s="6">
        <v>20500</v>
      </c>
      <c r="D65" s="6"/>
      <c r="E65" s="6"/>
    </row>
    <row r="66" spans="1:5" x14ac:dyDescent="0.35">
      <c r="A66" s="2" t="s">
        <v>19</v>
      </c>
      <c r="B66" s="2" t="s">
        <v>2</v>
      </c>
      <c r="C66" s="6">
        <v>4700</v>
      </c>
      <c r="D66" s="6"/>
      <c r="E66" s="6"/>
    </row>
    <row r="67" spans="1:5" x14ac:dyDescent="0.35">
      <c r="A67" s="2" t="s">
        <v>19</v>
      </c>
      <c r="B67" s="2" t="s">
        <v>3</v>
      </c>
      <c r="C67" s="6">
        <v>1000</v>
      </c>
      <c r="D67" s="6"/>
      <c r="E67" s="6"/>
    </row>
    <row r="68" spans="1:5" x14ac:dyDescent="0.35">
      <c r="A68" s="2" t="s">
        <v>19</v>
      </c>
      <c r="B68" s="2" t="s">
        <v>4</v>
      </c>
      <c r="C68" s="6">
        <v>200</v>
      </c>
      <c r="D68" s="6"/>
      <c r="E68" s="6"/>
    </row>
    <row r="69" spans="1:5" x14ac:dyDescent="0.35">
      <c r="A69" s="2" t="s">
        <v>19</v>
      </c>
      <c r="B69" s="2" t="s">
        <v>5</v>
      </c>
      <c r="C69" s="6">
        <v>0</v>
      </c>
      <c r="D69" s="6"/>
      <c r="E69" s="6"/>
    </row>
    <row r="70" spans="1:5" x14ac:dyDescent="0.35">
      <c r="A70" s="2" t="s">
        <v>19</v>
      </c>
      <c r="B70" s="2" t="s">
        <v>6</v>
      </c>
      <c r="C70" s="6">
        <v>5200</v>
      </c>
      <c r="D70" s="6"/>
      <c r="E70" s="6"/>
    </row>
    <row r="71" spans="1:5" x14ac:dyDescent="0.35">
      <c r="A71" s="2" t="s">
        <v>19</v>
      </c>
      <c r="B71" s="2" t="s">
        <v>7</v>
      </c>
      <c r="C71" s="6">
        <v>1600</v>
      </c>
      <c r="D71" s="6"/>
      <c r="E71" s="6"/>
    </row>
    <row r="72" spans="1:5" x14ac:dyDescent="0.35">
      <c r="A72" s="2" t="s">
        <v>19</v>
      </c>
      <c r="B72" s="2" t="s">
        <v>8</v>
      </c>
      <c r="C72" s="6">
        <v>400</v>
      </c>
      <c r="D72" s="6"/>
      <c r="E72" s="6"/>
    </row>
    <row r="73" spans="1:5" x14ac:dyDescent="0.35">
      <c r="A73" s="2" t="s">
        <v>19</v>
      </c>
      <c r="B73" s="2" t="s">
        <v>9</v>
      </c>
      <c r="C73" s="6">
        <v>0</v>
      </c>
      <c r="D73" s="6"/>
      <c r="E73" s="6"/>
    </row>
    <row r="74" spans="1:5" x14ac:dyDescent="0.35">
      <c r="A74" s="2" t="s">
        <v>19</v>
      </c>
      <c r="B74" s="2" t="s">
        <v>10</v>
      </c>
      <c r="C74" s="6">
        <v>0</v>
      </c>
      <c r="D74" s="6"/>
      <c r="E74" s="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02"/>
  <sheetViews>
    <sheetView workbookViewId="0">
      <selection activeCell="A2" sqref="A2"/>
    </sheetView>
  </sheetViews>
  <sheetFormatPr baseColWidth="10" defaultRowHeight="14.5" x14ac:dyDescent="0.35"/>
  <cols>
    <col min="1" max="1" width="11.453125" style="2"/>
    <col min="16" max="16" width="12.453125" customWidth="1"/>
    <col min="110" max="110" width="20" customWidth="1"/>
    <col min="154" max="154" width="10.26953125" customWidth="1"/>
  </cols>
  <sheetData>
    <row r="1" spans="1:174" ht="21" x14ac:dyDescent="0.5">
      <c r="A1" s="11" t="s">
        <v>88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14</v>
      </c>
      <c r="Q1" s="2" t="s">
        <v>14</v>
      </c>
      <c r="R1" s="2" t="s">
        <v>14</v>
      </c>
      <c r="S1" s="2" t="s">
        <v>14</v>
      </c>
      <c r="T1" s="2" t="s">
        <v>14</v>
      </c>
      <c r="U1" s="2" t="s">
        <v>14</v>
      </c>
      <c r="V1" s="2" t="s">
        <v>14</v>
      </c>
      <c r="W1" s="2" t="s">
        <v>14</v>
      </c>
      <c r="X1" s="2" t="s">
        <v>14</v>
      </c>
      <c r="Y1" s="2" t="s">
        <v>14</v>
      </c>
      <c r="Z1" s="2" t="s">
        <v>14</v>
      </c>
      <c r="AA1" s="2" t="s">
        <v>14</v>
      </c>
      <c r="AB1" s="2" t="s">
        <v>14</v>
      </c>
      <c r="AC1" s="2" t="s">
        <v>15</v>
      </c>
      <c r="AD1" s="2" t="s">
        <v>15</v>
      </c>
      <c r="AE1" s="2" t="s">
        <v>15</v>
      </c>
      <c r="AF1" s="2" t="s">
        <v>15</v>
      </c>
      <c r="AG1" s="2" t="s">
        <v>15</v>
      </c>
      <c r="AH1" s="2" t="s">
        <v>15</v>
      </c>
      <c r="AI1" s="2" t="s">
        <v>15</v>
      </c>
      <c r="AJ1" s="2" t="s">
        <v>15</v>
      </c>
      <c r="AK1" s="2" t="s">
        <v>15</v>
      </c>
      <c r="AL1" s="2" t="s">
        <v>15</v>
      </c>
      <c r="AM1" s="2" t="s">
        <v>15</v>
      </c>
      <c r="AN1" s="2" t="s">
        <v>15</v>
      </c>
      <c r="AO1" s="2" t="s">
        <v>16</v>
      </c>
      <c r="AP1" s="2" t="s">
        <v>16</v>
      </c>
      <c r="AQ1" s="2" t="s">
        <v>16</v>
      </c>
      <c r="AR1" s="2" t="s">
        <v>16</v>
      </c>
      <c r="AS1" s="2" t="s">
        <v>16</v>
      </c>
      <c r="AT1" s="2" t="s">
        <v>16</v>
      </c>
      <c r="AU1" s="2" t="s">
        <v>16</v>
      </c>
      <c r="AV1" s="2" t="s">
        <v>16</v>
      </c>
      <c r="AW1" s="2" t="s">
        <v>16</v>
      </c>
      <c r="AX1" s="2" t="s">
        <v>16</v>
      </c>
      <c r="AY1" s="2" t="s">
        <v>16</v>
      </c>
      <c r="AZ1" s="2" t="s">
        <v>16</v>
      </c>
      <c r="BA1" s="2" t="s">
        <v>17</v>
      </c>
      <c r="BB1" s="2" t="s">
        <v>17</v>
      </c>
      <c r="BC1" s="2" t="s">
        <v>17</v>
      </c>
      <c r="BD1" s="2" t="s">
        <v>17</v>
      </c>
      <c r="BE1" s="2" t="s">
        <v>17</v>
      </c>
      <c r="BF1" s="2" t="s">
        <v>17</v>
      </c>
      <c r="BG1" s="2" t="s">
        <v>17</v>
      </c>
      <c r="BH1" s="2" t="s">
        <v>17</v>
      </c>
      <c r="BI1" s="2" t="s">
        <v>17</v>
      </c>
      <c r="BJ1" s="2" t="s">
        <v>17</v>
      </c>
      <c r="BK1" s="2" t="s">
        <v>17</v>
      </c>
      <c r="BL1" s="2" t="s">
        <v>17</v>
      </c>
      <c r="BM1" s="2" t="s">
        <v>18</v>
      </c>
      <c r="BN1" s="2" t="s">
        <v>18</v>
      </c>
      <c r="BO1" s="2" t="s">
        <v>18</v>
      </c>
      <c r="BP1" s="2" t="s">
        <v>18</v>
      </c>
      <c r="BQ1" s="2" t="s">
        <v>18</v>
      </c>
      <c r="BR1" s="2" t="s">
        <v>18</v>
      </c>
      <c r="BS1" s="2" t="s">
        <v>18</v>
      </c>
      <c r="BT1" s="2" t="s">
        <v>18</v>
      </c>
      <c r="BU1" s="2" t="s">
        <v>18</v>
      </c>
      <c r="BV1" s="2" t="s">
        <v>18</v>
      </c>
      <c r="BW1" s="2" t="s">
        <v>18</v>
      </c>
      <c r="BX1" s="2" t="s">
        <v>18</v>
      </c>
      <c r="BY1" s="2" t="s">
        <v>19</v>
      </c>
      <c r="BZ1" s="2" t="s">
        <v>19</v>
      </c>
      <c r="CA1" s="2" t="s">
        <v>19</v>
      </c>
      <c r="CB1" s="2" t="s">
        <v>19</v>
      </c>
      <c r="CC1" s="2" t="s">
        <v>19</v>
      </c>
      <c r="CD1" s="2" t="s">
        <v>19</v>
      </c>
      <c r="CE1" s="2" t="s">
        <v>19</v>
      </c>
      <c r="CF1" s="2" t="s">
        <v>19</v>
      </c>
      <c r="CG1" s="2" t="s">
        <v>19</v>
      </c>
      <c r="CH1" s="2" t="s">
        <v>19</v>
      </c>
      <c r="CJ1" s="2" t="s">
        <v>0</v>
      </c>
      <c r="CK1" s="2" t="s">
        <v>0</v>
      </c>
      <c r="CL1" s="2" t="s">
        <v>0</v>
      </c>
      <c r="CM1" s="2" t="s">
        <v>14</v>
      </c>
      <c r="CN1" s="2" t="s">
        <v>14</v>
      </c>
      <c r="CO1" s="2" t="s">
        <v>14</v>
      </c>
      <c r="CP1" s="2" t="s">
        <v>15</v>
      </c>
      <c r="CQ1" s="2" t="s">
        <v>15</v>
      </c>
      <c r="CR1" s="2" t="s">
        <v>15</v>
      </c>
      <c r="CS1" s="2" t="s">
        <v>16</v>
      </c>
      <c r="CT1" s="2" t="s">
        <v>16</v>
      </c>
      <c r="CU1" s="2" t="s">
        <v>16</v>
      </c>
      <c r="CV1" s="2" t="s">
        <v>17</v>
      </c>
      <c r="CW1" s="2" t="s">
        <v>17</v>
      </c>
      <c r="CX1" s="2" t="s">
        <v>17</v>
      </c>
      <c r="CY1" s="2" t="s">
        <v>18</v>
      </c>
      <c r="CZ1" s="2" t="s">
        <v>18</v>
      </c>
      <c r="DA1" s="2" t="s">
        <v>18</v>
      </c>
      <c r="DB1" s="2" t="s">
        <v>19</v>
      </c>
      <c r="DC1" s="2" t="s">
        <v>19</v>
      </c>
      <c r="DD1" s="2" t="s">
        <v>19</v>
      </c>
      <c r="DF1" t="s">
        <v>0</v>
      </c>
      <c r="DG1" t="s">
        <v>0</v>
      </c>
      <c r="DH1" t="s">
        <v>0</v>
      </c>
      <c r="DI1" t="s">
        <v>14</v>
      </c>
      <c r="DJ1" t="s">
        <v>14</v>
      </c>
      <c r="DK1" t="s">
        <v>14</v>
      </c>
      <c r="DL1" t="s">
        <v>15</v>
      </c>
      <c r="DM1" t="s">
        <v>15</v>
      </c>
      <c r="DN1" t="s">
        <v>15</v>
      </c>
      <c r="DO1" t="s">
        <v>16</v>
      </c>
      <c r="DP1" t="s">
        <v>16</v>
      </c>
      <c r="DQ1" t="s">
        <v>16</v>
      </c>
      <c r="DR1" t="s">
        <v>17</v>
      </c>
      <c r="DS1" t="s">
        <v>17</v>
      </c>
      <c r="DT1" t="s">
        <v>17</v>
      </c>
      <c r="DU1" t="s">
        <v>18</v>
      </c>
      <c r="DV1" t="s">
        <v>18</v>
      </c>
      <c r="DW1" t="s">
        <v>18</v>
      </c>
      <c r="DX1" t="s">
        <v>19</v>
      </c>
      <c r="DY1" t="s">
        <v>19</v>
      </c>
      <c r="DZ1" t="s">
        <v>19</v>
      </c>
      <c r="EB1" t="s">
        <v>0</v>
      </c>
      <c r="EC1" t="s">
        <v>0</v>
      </c>
      <c r="ED1" t="s">
        <v>0</v>
      </c>
      <c r="EE1" t="s">
        <v>14</v>
      </c>
      <c r="EF1" t="s">
        <v>14</v>
      </c>
      <c r="EG1" t="s">
        <v>14</v>
      </c>
      <c r="EH1" t="s">
        <v>15</v>
      </c>
      <c r="EI1" t="s">
        <v>15</v>
      </c>
      <c r="EJ1" t="s">
        <v>15</v>
      </c>
      <c r="EK1" t="s">
        <v>16</v>
      </c>
      <c r="EL1" t="s">
        <v>16</v>
      </c>
      <c r="EM1" t="s">
        <v>16</v>
      </c>
      <c r="EN1" t="s">
        <v>17</v>
      </c>
      <c r="EO1" t="s">
        <v>17</v>
      </c>
      <c r="EP1" t="s">
        <v>17</v>
      </c>
      <c r="EQ1" t="s">
        <v>18</v>
      </c>
      <c r="ER1" t="s">
        <v>18</v>
      </c>
      <c r="ES1" t="s">
        <v>18</v>
      </c>
      <c r="ET1" t="s">
        <v>19</v>
      </c>
      <c r="EU1" t="s">
        <v>19</v>
      </c>
      <c r="EV1" t="s">
        <v>19</v>
      </c>
      <c r="EX1" t="s">
        <v>0</v>
      </c>
      <c r="EY1" t="s">
        <v>0</v>
      </c>
      <c r="EZ1" t="s">
        <v>0</v>
      </c>
      <c r="FA1" t="s">
        <v>14</v>
      </c>
      <c r="FB1" t="s">
        <v>14</v>
      </c>
      <c r="FC1" t="s">
        <v>14</v>
      </c>
      <c r="FD1" t="s">
        <v>15</v>
      </c>
      <c r="FE1" t="s">
        <v>15</v>
      </c>
      <c r="FF1" t="s">
        <v>15</v>
      </c>
      <c r="FG1" t="s">
        <v>16</v>
      </c>
      <c r="FH1" t="s">
        <v>16</v>
      </c>
      <c r="FI1" t="s">
        <v>16</v>
      </c>
      <c r="FJ1" t="s">
        <v>17</v>
      </c>
      <c r="FK1" t="s">
        <v>17</v>
      </c>
      <c r="FL1" t="s">
        <v>17</v>
      </c>
      <c r="FM1" t="s">
        <v>18</v>
      </c>
      <c r="FN1" t="s">
        <v>18</v>
      </c>
      <c r="FO1" t="s">
        <v>18</v>
      </c>
      <c r="FP1" t="s">
        <v>19</v>
      </c>
      <c r="FQ1" t="s">
        <v>19</v>
      </c>
      <c r="FR1" t="s">
        <v>19</v>
      </c>
    </row>
    <row r="2" spans="1:174" x14ac:dyDescent="0.3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</v>
      </c>
      <c r="AD2" s="2" t="s">
        <v>2</v>
      </c>
      <c r="AE2" s="2" t="s">
        <v>3</v>
      </c>
      <c r="AF2" s="2" t="s">
        <v>4</v>
      </c>
      <c r="AG2" s="2" t="s">
        <v>5</v>
      </c>
      <c r="AH2" s="2" t="s">
        <v>6</v>
      </c>
      <c r="AI2" s="2" t="s">
        <v>7</v>
      </c>
      <c r="AJ2" s="2" t="s">
        <v>8</v>
      </c>
      <c r="AK2" s="2" t="s">
        <v>9</v>
      </c>
      <c r="AL2" s="2" t="s">
        <v>10</v>
      </c>
      <c r="AM2" s="2" t="s">
        <v>11</v>
      </c>
      <c r="AN2" s="2" t="s">
        <v>12</v>
      </c>
      <c r="AO2" s="2" t="s">
        <v>1</v>
      </c>
      <c r="AP2" s="2" t="s">
        <v>2</v>
      </c>
      <c r="AQ2" s="2" t="s">
        <v>3</v>
      </c>
      <c r="AR2" s="2" t="s">
        <v>4</v>
      </c>
      <c r="AS2" s="2" t="s">
        <v>5</v>
      </c>
      <c r="AT2" s="2" t="s">
        <v>6</v>
      </c>
      <c r="AU2" s="2" t="s">
        <v>7</v>
      </c>
      <c r="AV2" s="2" t="s">
        <v>8</v>
      </c>
      <c r="AW2" s="2" t="s">
        <v>9</v>
      </c>
      <c r="AX2" s="2" t="s">
        <v>10</v>
      </c>
      <c r="AY2" s="2" t="s">
        <v>11</v>
      </c>
      <c r="AZ2" s="2" t="s">
        <v>12</v>
      </c>
      <c r="BA2" s="2" t="s">
        <v>1</v>
      </c>
      <c r="BB2" s="2" t="s">
        <v>2</v>
      </c>
      <c r="BC2" s="2" t="s">
        <v>3</v>
      </c>
      <c r="BD2" s="2" t="s">
        <v>4</v>
      </c>
      <c r="BE2" s="2" t="s">
        <v>5</v>
      </c>
      <c r="BF2" s="2" t="s">
        <v>6</v>
      </c>
      <c r="BG2" s="2" t="s">
        <v>7</v>
      </c>
      <c r="BH2" s="2" t="s">
        <v>8</v>
      </c>
      <c r="BI2" s="2" t="s">
        <v>9</v>
      </c>
      <c r="BJ2" s="2" t="s">
        <v>10</v>
      </c>
      <c r="BK2" s="2" t="s">
        <v>11</v>
      </c>
      <c r="BL2" s="2" t="s">
        <v>12</v>
      </c>
      <c r="BM2" s="2" t="s">
        <v>1</v>
      </c>
      <c r="BN2" s="2" t="s">
        <v>2</v>
      </c>
      <c r="BO2" s="2" t="s">
        <v>3</v>
      </c>
      <c r="BP2" s="2" t="s">
        <v>4</v>
      </c>
      <c r="BQ2" s="2" t="s">
        <v>5</v>
      </c>
      <c r="BR2" s="2" t="s">
        <v>6</v>
      </c>
      <c r="BS2" s="2" t="s">
        <v>7</v>
      </c>
      <c r="BT2" s="2" t="s">
        <v>8</v>
      </c>
      <c r="BU2" s="2" t="s">
        <v>9</v>
      </c>
      <c r="BV2" s="2" t="s">
        <v>10</v>
      </c>
      <c r="BW2" s="2" t="s">
        <v>11</v>
      </c>
      <c r="BX2" s="2" t="s">
        <v>12</v>
      </c>
      <c r="BY2" s="2" t="s">
        <v>1</v>
      </c>
      <c r="BZ2" s="2" t="s">
        <v>2</v>
      </c>
      <c r="CA2" s="2" t="s">
        <v>3</v>
      </c>
      <c r="CB2" s="2" t="s">
        <v>4</v>
      </c>
      <c r="CC2" s="2" t="s">
        <v>5</v>
      </c>
      <c r="CD2" s="2" t="s">
        <v>6</v>
      </c>
      <c r="CE2" s="2" t="s">
        <v>7</v>
      </c>
      <c r="CF2" s="2" t="s">
        <v>8</v>
      </c>
      <c r="CG2" s="2" t="s">
        <v>9</v>
      </c>
      <c r="CH2" s="2" t="s">
        <v>10</v>
      </c>
      <c r="CJ2" s="2" t="s">
        <v>40</v>
      </c>
      <c r="CK2" s="2" t="s">
        <v>41</v>
      </c>
      <c r="CL2" s="2" t="s">
        <v>42</v>
      </c>
      <c r="CM2" s="2" t="s">
        <v>40</v>
      </c>
      <c r="CN2" s="2" t="s">
        <v>41</v>
      </c>
      <c r="CO2" s="2" t="s">
        <v>42</v>
      </c>
      <c r="CP2" s="2" t="s">
        <v>40</v>
      </c>
      <c r="CQ2" s="2" t="s">
        <v>41</v>
      </c>
      <c r="CR2" s="2" t="s">
        <v>42</v>
      </c>
      <c r="CS2" s="2" t="s">
        <v>40</v>
      </c>
      <c r="CT2" s="2" t="s">
        <v>41</v>
      </c>
      <c r="CU2" s="2" t="s">
        <v>42</v>
      </c>
      <c r="CV2" s="2" t="s">
        <v>40</v>
      </c>
      <c r="CW2" s="2" t="s">
        <v>41</v>
      </c>
      <c r="CX2" s="2" t="s">
        <v>42</v>
      </c>
      <c r="CY2" s="2" t="s">
        <v>40</v>
      </c>
      <c r="CZ2" s="2" t="s">
        <v>41</v>
      </c>
      <c r="DA2" s="2" t="s">
        <v>42</v>
      </c>
      <c r="DB2" s="2" t="s">
        <v>40</v>
      </c>
      <c r="DC2" s="2" t="s">
        <v>41</v>
      </c>
      <c r="DD2" s="2" t="s">
        <v>42</v>
      </c>
      <c r="DF2" t="s">
        <v>40</v>
      </c>
      <c r="DG2" t="s">
        <v>41</v>
      </c>
      <c r="DH2" t="s">
        <v>42</v>
      </c>
      <c r="DI2" t="s">
        <v>40</v>
      </c>
      <c r="DJ2" t="s">
        <v>41</v>
      </c>
      <c r="DK2" t="s">
        <v>42</v>
      </c>
      <c r="DL2" t="s">
        <v>40</v>
      </c>
      <c r="DM2" t="s">
        <v>41</v>
      </c>
      <c r="DN2" t="s">
        <v>42</v>
      </c>
      <c r="DO2" t="s">
        <v>40</v>
      </c>
      <c r="DP2" t="s">
        <v>41</v>
      </c>
      <c r="DQ2" t="s">
        <v>42</v>
      </c>
      <c r="DR2" t="s">
        <v>40</v>
      </c>
      <c r="DS2" t="s">
        <v>41</v>
      </c>
      <c r="DT2" t="s">
        <v>42</v>
      </c>
      <c r="DU2" t="s">
        <v>40</v>
      </c>
      <c r="DV2" t="s">
        <v>41</v>
      </c>
      <c r="DW2" t="s">
        <v>42</v>
      </c>
      <c r="DX2" t="s">
        <v>40</v>
      </c>
      <c r="DY2" t="s">
        <v>41</v>
      </c>
      <c r="DZ2" t="s">
        <v>42</v>
      </c>
      <c r="EB2" t="s">
        <v>40</v>
      </c>
      <c r="EC2" t="s">
        <v>41</v>
      </c>
      <c r="ED2" t="s">
        <v>42</v>
      </c>
      <c r="EE2" t="s">
        <v>40</v>
      </c>
      <c r="EF2" t="s">
        <v>41</v>
      </c>
      <c r="EG2" t="s">
        <v>42</v>
      </c>
      <c r="EH2" t="s">
        <v>40</v>
      </c>
      <c r="EI2" t="s">
        <v>41</v>
      </c>
      <c r="EJ2" t="s">
        <v>42</v>
      </c>
      <c r="EK2" t="s">
        <v>40</v>
      </c>
      <c r="EL2" t="s">
        <v>41</v>
      </c>
      <c r="EM2" t="s">
        <v>42</v>
      </c>
      <c r="EN2" t="s">
        <v>40</v>
      </c>
      <c r="EO2" t="s">
        <v>41</v>
      </c>
      <c r="EP2" t="s">
        <v>42</v>
      </c>
      <c r="EQ2" t="s">
        <v>40</v>
      </c>
      <c r="ER2" t="s">
        <v>41</v>
      </c>
      <c r="ES2" t="s">
        <v>42</v>
      </c>
      <c r="ET2" t="s">
        <v>40</v>
      </c>
      <c r="EU2" t="s">
        <v>41</v>
      </c>
      <c r="EV2" t="s">
        <v>42</v>
      </c>
      <c r="EX2" t="s">
        <v>40</v>
      </c>
      <c r="EY2" t="s">
        <v>41</v>
      </c>
      <c r="EZ2" t="s">
        <v>42</v>
      </c>
      <c r="FA2" t="s">
        <v>40</v>
      </c>
      <c r="FB2" t="s">
        <v>41</v>
      </c>
      <c r="FC2" t="s">
        <v>42</v>
      </c>
      <c r="FD2" t="s">
        <v>40</v>
      </c>
      <c r="FE2" t="s">
        <v>41</v>
      </c>
      <c r="FF2" t="s">
        <v>42</v>
      </c>
      <c r="FG2" t="s">
        <v>40</v>
      </c>
      <c r="FH2" t="s">
        <v>41</v>
      </c>
      <c r="FI2" t="s">
        <v>42</v>
      </c>
      <c r="FJ2" t="s">
        <v>40</v>
      </c>
      <c r="FK2" t="s">
        <v>41</v>
      </c>
      <c r="FL2" t="s">
        <v>42</v>
      </c>
      <c r="FM2" t="s">
        <v>40</v>
      </c>
      <c r="FN2" t="s">
        <v>41</v>
      </c>
      <c r="FO2" t="s">
        <v>42</v>
      </c>
      <c r="FP2" t="s">
        <v>40</v>
      </c>
      <c r="FQ2" t="s">
        <v>41</v>
      </c>
      <c r="FR2" t="s">
        <v>42</v>
      </c>
    </row>
    <row r="3" spans="1:174" x14ac:dyDescent="0.35">
      <c r="A3" s="2" t="s">
        <v>20</v>
      </c>
      <c r="B3" t="s">
        <v>21</v>
      </c>
      <c r="C3" s="2">
        <v>136500</v>
      </c>
      <c r="D3" s="2">
        <v>74000</v>
      </c>
      <c r="E3" s="2">
        <v>44000</v>
      </c>
      <c r="F3" s="2">
        <v>41000</v>
      </c>
      <c r="G3" s="2">
        <v>7700</v>
      </c>
      <c r="H3" s="2">
        <v>103500</v>
      </c>
      <c r="I3" s="2">
        <v>57400</v>
      </c>
      <c r="J3" s="2">
        <v>44500</v>
      </c>
      <c r="K3" s="2">
        <v>13900</v>
      </c>
      <c r="L3" s="2">
        <v>100</v>
      </c>
      <c r="M3" s="2">
        <v>56338</v>
      </c>
      <c r="N3" s="2">
        <v>15561</v>
      </c>
      <c r="O3" s="2">
        <v>108</v>
      </c>
      <c r="P3" s="2">
        <v>181600</v>
      </c>
      <c r="Q3" s="2">
        <v>136000</v>
      </c>
      <c r="R3" s="2">
        <v>126100</v>
      </c>
      <c r="S3" s="2">
        <v>88300</v>
      </c>
      <c r="T3" s="2">
        <v>12200</v>
      </c>
      <c r="U3" s="2">
        <v>159300</v>
      </c>
      <c r="V3" s="2">
        <v>139500</v>
      </c>
      <c r="W3" s="2">
        <v>97700</v>
      </c>
      <c r="X3" s="2">
        <v>20400</v>
      </c>
      <c r="Y3" s="2">
        <v>200</v>
      </c>
      <c r="Z3" s="2">
        <v>108999</v>
      </c>
      <c r="AA3" s="2">
        <v>30386</v>
      </c>
      <c r="AB3" s="2">
        <v>221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>
        <v>31500</v>
      </c>
      <c r="AP3" s="2">
        <v>23800</v>
      </c>
      <c r="AQ3" s="2">
        <v>11500</v>
      </c>
      <c r="AR3" s="2">
        <v>600</v>
      </c>
      <c r="AS3" s="2">
        <v>0</v>
      </c>
      <c r="AT3" s="2">
        <v>30000</v>
      </c>
      <c r="AU3" s="2">
        <v>19300</v>
      </c>
      <c r="AV3" s="2">
        <v>3300</v>
      </c>
      <c r="AW3" s="2">
        <v>100</v>
      </c>
      <c r="AX3" s="2">
        <v>0</v>
      </c>
      <c r="AY3" s="2">
        <v>12616</v>
      </c>
      <c r="AZ3" s="2">
        <v>3211</v>
      </c>
      <c r="BA3" s="2">
        <v>87500</v>
      </c>
      <c r="BB3" s="2">
        <v>15800</v>
      </c>
      <c r="BC3" s="2">
        <v>100</v>
      </c>
      <c r="BD3" s="2">
        <v>0</v>
      </c>
      <c r="BE3" s="2">
        <v>0</v>
      </c>
      <c r="BF3" s="2">
        <v>62800</v>
      </c>
      <c r="BG3" s="2">
        <v>8900</v>
      </c>
      <c r="BH3" s="2">
        <v>0</v>
      </c>
      <c r="BI3" s="2">
        <v>0</v>
      </c>
      <c r="BJ3" s="2">
        <v>0</v>
      </c>
      <c r="BK3" s="2">
        <v>32898</v>
      </c>
      <c r="BL3" s="2">
        <v>16341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>
        <v>1100</v>
      </c>
      <c r="BZ3" s="2">
        <v>200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J3" s="1">
        <v>208</v>
      </c>
      <c r="CK3" s="1">
        <v>76</v>
      </c>
      <c r="CL3" s="1">
        <v>17</v>
      </c>
      <c r="CM3" s="1">
        <v>251</v>
      </c>
      <c r="CN3" s="1">
        <v>96</v>
      </c>
      <c r="CO3" s="1">
        <v>19</v>
      </c>
      <c r="CP3" s="1"/>
      <c r="CQ3" s="1"/>
      <c r="CR3" s="1"/>
      <c r="CS3" s="1">
        <v>14</v>
      </c>
      <c r="CT3" s="1">
        <v>2</v>
      </c>
      <c r="CU3" s="1">
        <v>0</v>
      </c>
      <c r="CV3" s="1">
        <v>61</v>
      </c>
      <c r="CW3" s="1">
        <v>9</v>
      </c>
      <c r="CX3" s="1">
        <v>2</v>
      </c>
      <c r="CY3" s="1"/>
      <c r="CZ3" s="1"/>
      <c r="DA3" s="1"/>
      <c r="DB3" s="1">
        <v>14</v>
      </c>
      <c r="DC3" s="1">
        <v>8</v>
      </c>
      <c r="DD3" s="1">
        <v>0</v>
      </c>
      <c r="DF3" s="2">
        <v>144300</v>
      </c>
      <c r="DG3" s="2">
        <v>44100</v>
      </c>
      <c r="DH3" s="2">
        <v>3700</v>
      </c>
      <c r="DI3" s="2">
        <v>259100</v>
      </c>
      <c r="DJ3" s="2">
        <v>107900</v>
      </c>
      <c r="DK3" s="2">
        <v>5800</v>
      </c>
      <c r="DL3" s="2"/>
      <c r="DM3" s="2"/>
      <c r="DN3" s="2"/>
      <c r="DO3" s="2">
        <v>32100</v>
      </c>
      <c r="DP3" s="2">
        <v>5800</v>
      </c>
      <c r="DQ3" s="2">
        <v>0</v>
      </c>
      <c r="DR3" s="2">
        <v>49200</v>
      </c>
      <c r="DS3" s="2">
        <v>100</v>
      </c>
      <c r="DT3" s="2">
        <v>0</v>
      </c>
      <c r="DU3" s="2"/>
      <c r="DV3" s="2"/>
      <c r="DW3" s="2"/>
      <c r="DX3" s="2">
        <v>600</v>
      </c>
      <c r="DY3" s="2">
        <v>0</v>
      </c>
      <c r="DZ3" s="2">
        <v>0</v>
      </c>
      <c r="EB3" s="2">
        <v>54</v>
      </c>
      <c r="EC3" s="2">
        <v>13</v>
      </c>
      <c r="ED3" s="2">
        <v>2</v>
      </c>
      <c r="EE3" s="2">
        <v>112</v>
      </c>
      <c r="EF3" s="2">
        <v>33</v>
      </c>
      <c r="EG3" s="2">
        <v>2</v>
      </c>
      <c r="EH3" s="2"/>
      <c r="EI3" s="2"/>
      <c r="EJ3" s="2"/>
      <c r="EK3" s="2">
        <v>4</v>
      </c>
      <c r="EL3" s="2">
        <v>1</v>
      </c>
      <c r="EM3" s="2">
        <v>0</v>
      </c>
      <c r="EN3" s="2">
        <v>38</v>
      </c>
      <c r="EO3" s="2">
        <v>0</v>
      </c>
      <c r="EP3" s="2">
        <v>0</v>
      </c>
      <c r="EQ3" s="2"/>
      <c r="ER3" s="2"/>
      <c r="ES3" s="2"/>
      <c r="ET3" s="2">
        <v>0</v>
      </c>
      <c r="EU3" s="2">
        <v>0</v>
      </c>
      <c r="EV3" s="2">
        <v>0</v>
      </c>
      <c r="EX3" s="2">
        <v>482</v>
      </c>
      <c r="EY3" s="2">
        <v>117</v>
      </c>
      <c r="EZ3" s="2">
        <v>10</v>
      </c>
      <c r="FA3" s="2">
        <v>816</v>
      </c>
      <c r="FB3" s="2">
        <v>260</v>
      </c>
      <c r="FC3" s="2">
        <v>16</v>
      </c>
      <c r="FD3" s="2"/>
      <c r="FE3" s="2"/>
      <c r="FF3" s="2"/>
      <c r="FG3" s="2">
        <v>87</v>
      </c>
      <c r="FH3" s="2">
        <v>3</v>
      </c>
      <c r="FI3" s="2">
        <v>0</v>
      </c>
      <c r="FJ3" s="2">
        <v>131</v>
      </c>
      <c r="FK3" s="2">
        <v>0</v>
      </c>
      <c r="FL3" s="2">
        <v>0</v>
      </c>
      <c r="FM3" s="2"/>
      <c r="FN3" s="2"/>
      <c r="FO3" s="2"/>
      <c r="FP3" s="2">
        <v>5</v>
      </c>
      <c r="FQ3" s="2">
        <v>1</v>
      </c>
      <c r="FR3" s="2">
        <v>0</v>
      </c>
    </row>
    <row r="4" spans="1:174" x14ac:dyDescent="0.35">
      <c r="A4" s="2" t="s">
        <v>22</v>
      </c>
      <c r="B4" t="s">
        <v>36</v>
      </c>
      <c r="C4" s="2">
        <v>94200</v>
      </c>
      <c r="D4" s="2">
        <v>50700</v>
      </c>
      <c r="E4" s="2">
        <v>32500</v>
      </c>
      <c r="F4" s="2">
        <v>32000</v>
      </c>
      <c r="G4" s="2">
        <v>6300</v>
      </c>
      <c r="H4" s="2">
        <v>66600</v>
      </c>
      <c r="I4" s="2">
        <v>40000</v>
      </c>
      <c r="J4" s="2">
        <v>33300</v>
      </c>
      <c r="K4" s="2">
        <v>9100</v>
      </c>
      <c r="L4" s="2">
        <v>0</v>
      </c>
      <c r="M4" s="2">
        <v>40903</v>
      </c>
      <c r="N4" s="2">
        <v>10705</v>
      </c>
      <c r="O4" s="2">
        <v>90</v>
      </c>
      <c r="P4" s="2">
        <v>163900</v>
      </c>
      <c r="Q4" s="2">
        <v>152500</v>
      </c>
      <c r="R4" s="2">
        <v>91500</v>
      </c>
      <c r="S4" s="2">
        <v>68000</v>
      </c>
      <c r="T4" s="2">
        <v>9600</v>
      </c>
      <c r="U4" s="2">
        <v>170700</v>
      </c>
      <c r="V4" s="2">
        <v>102100</v>
      </c>
      <c r="W4" s="2">
        <v>72600</v>
      </c>
      <c r="X4" s="2">
        <v>13000</v>
      </c>
      <c r="Y4" s="2">
        <v>0</v>
      </c>
      <c r="Z4" s="2">
        <v>93897</v>
      </c>
      <c r="AA4" s="2">
        <v>24755</v>
      </c>
      <c r="AB4" s="2">
        <v>209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>
        <v>27200</v>
      </c>
      <c r="AP4" s="2">
        <v>24400</v>
      </c>
      <c r="AQ4" s="2">
        <v>38200</v>
      </c>
      <c r="AR4" s="2">
        <v>5700</v>
      </c>
      <c r="AS4" s="2">
        <v>100</v>
      </c>
      <c r="AT4" s="2">
        <v>23600</v>
      </c>
      <c r="AU4" s="2">
        <v>35400</v>
      </c>
      <c r="AV4" s="2">
        <v>17100</v>
      </c>
      <c r="AW4" s="2">
        <v>1400</v>
      </c>
      <c r="AX4" s="2">
        <v>0</v>
      </c>
      <c r="AY4" s="2">
        <v>21712</v>
      </c>
      <c r="AZ4" s="2">
        <v>10285</v>
      </c>
      <c r="BA4" s="2">
        <v>3900</v>
      </c>
      <c r="BB4" s="2">
        <v>1800</v>
      </c>
      <c r="BC4" s="2">
        <v>1000</v>
      </c>
      <c r="BD4" s="2">
        <v>500</v>
      </c>
      <c r="BE4" s="2">
        <v>0</v>
      </c>
      <c r="BF4" s="2">
        <v>200</v>
      </c>
      <c r="BG4" s="2">
        <v>400</v>
      </c>
      <c r="BH4" s="2">
        <v>200</v>
      </c>
      <c r="BI4" s="2">
        <v>0</v>
      </c>
      <c r="BJ4" s="2">
        <v>0</v>
      </c>
      <c r="BK4" s="2">
        <v>2714</v>
      </c>
      <c r="BL4" s="2">
        <v>233</v>
      </c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>
        <v>600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/>
      <c r="CJ4" s="2">
        <v>68</v>
      </c>
      <c r="CK4" s="2">
        <v>23</v>
      </c>
      <c r="CL4" s="2">
        <v>6</v>
      </c>
      <c r="CM4" s="2">
        <v>88</v>
      </c>
      <c r="CN4" s="2">
        <v>33</v>
      </c>
      <c r="CO4" s="2">
        <v>7</v>
      </c>
      <c r="CP4" s="2"/>
      <c r="CQ4" s="2"/>
      <c r="CR4" s="2"/>
      <c r="CS4" s="2">
        <v>9</v>
      </c>
      <c r="CT4" s="2">
        <v>3</v>
      </c>
      <c r="CU4" s="2">
        <v>0</v>
      </c>
      <c r="CV4" s="2">
        <v>13</v>
      </c>
      <c r="CW4" s="2">
        <v>7</v>
      </c>
      <c r="CX4" s="2">
        <v>1</v>
      </c>
      <c r="CY4" s="2"/>
      <c r="CZ4" s="2"/>
      <c r="DA4" s="2"/>
      <c r="DB4" s="2">
        <v>1</v>
      </c>
      <c r="DC4" s="2">
        <v>2</v>
      </c>
      <c r="DD4" s="2">
        <v>0</v>
      </c>
      <c r="DE4" s="2"/>
      <c r="DF4" s="2">
        <v>85200</v>
      </c>
      <c r="DG4" s="2">
        <v>37900</v>
      </c>
      <c r="DH4" s="2">
        <v>3700</v>
      </c>
      <c r="DI4" s="2">
        <v>186100</v>
      </c>
      <c r="DJ4" s="2">
        <v>93900</v>
      </c>
      <c r="DK4" s="2">
        <v>5600</v>
      </c>
      <c r="DL4" s="2"/>
      <c r="DM4" s="2"/>
      <c r="DN4" s="2"/>
      <c r="DO4" s="2">
        <v>40700</v>
      </c>
      <c r="DP4" s="2">
        <v>36800</v>
      </c>
      <c r="DQ4" s="2">
        <v>3400</v>
      </c>
      <c r="DR4" s="2">
        <v>3400</v>
      </c>
      <c r="DS4" s="2">
        <v>900</v>
      </c>
      <c r="DT4" s="2">
        <v>0</v>
      </c>
      <c r="DU4" s="2"/>
      <c r="DV4" s="2"/>
      <c r="DW4" s="2"/>
      <c r="DX4" s="2">
        <v>400</v>
      </c>
      <c r="DY4" s="2">
        <v>0</v>
      </c>
      <c r="DZ4" s="2">
        <v>0</v>
      </c>
      <c r="EB4" s="2">
        <v>68</v>
      </c>
      <c r="EC4" s="2">
        <v>15</v>
      </c>
      <c r="ED4" s="2">
        <v>0</v>
      </c>
      <c r="EE4" s="2">
        <v>119</v>
      </c>
      <c r="EF4" s="2">
        <v>28</v>
      </c>
      <c r="EG4" s="2">
        <v>0</v>
      </c>
      <c r="EH4" s="2"/>
      <c r="EI4" s="2"/>
      <c r="EJ4" s="2"/>
      <c r="EK4" s="2">
        <v>24</v>
      </c>
      <c r="EL4" s="2">
        <v>3</v>
      </c>
      <c r="EM4" s="2">
        <v>0</v>
      </c>
      <c r="EN4" s="2">
        <v>0</v>
      </c>
      <c r="EO4" s="2">
        <v>0</v>
      </c>
      <c r="EP4" s="2">
        <v>0</v>
      </c>
      <c r="EQ4" s="2"/>
      <c r="ER4" s="2"/>
      <c r="ES4" s="2"/>
      <c r="ET4" s="2">
        <v>0</v>
      </c>
      <c r="EU4" s="2">
        <v>0</v>
      </c>
      <c r="EV4" s="2">
        <v>0</v>
      </c>
      <c r="EX4" s="2">
        <v>245</v>
      </c>
      <c r="EY4" s="2">
        <v>62</v>
      </c>
      <c r="EZ4" s="2">
        <v>2</v>
      </c>
      <c r="FA4" s="2">
        <v>411</v>
      </c>
      <c r="FB4" s="2">
        <v>105</v>
      </c>
      <c r="FC4" s="2">
        <v>2</v>
      </c>
      <c r="FD4" s="2"/>
      <c r="FE4" s="2"/>
      <c r="FF4" s="2"/>
      <c r="FG4" s="2">
        <v>51</v>
      </c>
      <c r="FH4" s="2">
        <v>10</v>
      </c>
      <c r="FI4" s="2">
        <v>0</v>
      </c>
      <c r="FJ4" s="2">
        <v>9</v>
      </c>
      <c r="FK4" s="2">
        <v>4</v>
      </c>
      <c r="FL4" s="2">
        <v>0</v>
      </c>
      <c r="FM4" s="2"/>
      <c r="FN4" s="2"/>
      <c r="FO4" s="2"/>
      <c r="FP4" s="2">
        <v>0</v>
      </c>
      <c r="FQ4" s="2">
        <v>0</v>
      </c>
      <c r="FR4" s="2">
        <v>0</v>
      </c>
    </row>
    <row r="5" spans="1:174" x14ac:dyDescent="0.35">
      <c r="A5" s="2" t="s">
        <v>23</v>
      </c>
      <c r="B5" t="s">
        <v>37</v>
      </c>
      <c r="C5">
        <v>62100</v>
      </c>
      <c r="D5" s="2">
        <v>33900</v>
      </c>
      <c r="E5" s="2">
        <v>22200</v>
      </c>
      <c r="F5" s="2">
        <v>17700</v>
      </c>
      <c r="G5" s="2">
        <v>1900</v>
      </c>
      <c r="H5" s="2">
        <v>44800</v>
      </c>
      <c r="I5" s="2">
        <v>27000</v>
      </c>
      <c r="J5" s="2">
        <v>19200</v>
      </c>
      <c r="K5" s="2">
        <v>3300</v>
      </c>
      <c r="L5" s="2">
        <v>0</v>
      </c>
      <c r="M5" s="2">
        <v>25254</v>
      </c>
      <c r="N5" s="2">
        <v>6600</v>
      </c>
      <c r="O5" s="2">
        <v>54</v>
      </c>
      <c r="P5" s="2">
        <v>119300</v>
      </c>
      <c r="Q5" s="2">
        <v>97400</v>
      </c>
      <c r="R5" s="2">
        <v>56700</v>
      </c>
      <c r="S5" s="2">
        <v>28200</v>
      </c>
      <c r="T5" s="2">
        <v>2300</v>
      </c>
      <c r="U5" s="2">
        <v>108100</v>
      </c>
      <c r="V5" s="2">
        <v>61100</v>
      </c>
      <c r="W5" s="2">
        <v>30500</v>
      </c>
      <c r="X5" s="2">
        <v>4100</v>
      </c>
      <c r="Y5" s="2">
        <v>0</v>
      </c>
      <c r="Z5" s="2">
        <v>55024</v>
      </c>
      <c r="AA5" s="2">
        <v>7973</v>
      </c>
      <c r="AB5" s="2">
        <v>114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9700</v>
      </c>
      <c r="AP5" s="2">
        <v>8000</v>
      </c>
      <c r="AQ5" s="2">
        <v>4500</v>
      </c>
      <c r="AR5" s="2">
        <v>3300</v>
      </c>
      <c r="AS5" s="2">
        <v>300</v>
      </c>
      <c r="AT5" s="2">
        <v>8700</v>
      </c>
      <c r="AU5" s="2">
        <v>6200</v>
      </c>
      <c r="AV5" s="2">
        <v>4100</v>
      </c>
      <c r="AW5" s="2">
        <v>700</v>
      </c>
      <c r="AX5" s="2">
        <v>0</v>
      </c>
      <c r="AY5" s="2">
        <v>5679</v>
      </c>
      <c r="AZ5" s="2">
        <v>2573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1300</v>
      </c>
      <c r="BN5" s="2">
        <v>0</v>
      </c>
      <c r="BO5" s="2">
        <v>0</v>
      </c>
      <c r="BP5" s="2">
        <v>0</v>
      </c>
      <c r="BQ5" s="2">
        <v>0</v>
      </c>
      <c r="BR5" s="2">
        <v>100</v>
      </c>
      <c r="BS5" s="2">
        <v>0</v>
      </c>
      <c r="BT5" s="2">
        <v>0</v>
      </c>
      <c r="BU5" s="2">
        <v>0</v>
      </c>
      <c r="BV5" s="2">
        <v>0</v>
      </c>
      <c r="BW5" s="2">
        <v>387</v>
      </c>
      <c r="BX5" s="2">
        <v>22</v>
      </c>
      <c r="BY5" s="2">
        <v>100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J5">
        <v>122</v>
      </c>
      <c r="CK5" s="2">
        <v>38</v>
      </c>
      <c r="CL5" s="2">
        <v>8</v>
      </c>
      <c r="CM5" s="2">
        <v>163</v>
      </c>
      <c r="CN5" s="2">
        <v>53</v>
      </c>
      <c r="CO5" s="2">
        <v>9</v>
      </c>
      <c r="CP5" s="2">
        <v>0</v>
      </c>
      <c r="CQ5" s="2">
        <v>0</v>
      </c>
      <c r="CR5" s="2">
        <v>0</v>
      </c>
      <c r="CS5" s="2">
        <v>8</v>
      </c>
      <c r="CT5" s="2">
        <v>2</v>
      </c>
      <c r="CU5" s="2">
        <v>0</v>
      </c>
      <c r="CV5" s="2">
        <v>0</v>
      </c>
      <c r="CW5" s="2">
        <v>0</v>
      </c>
      <c r="CX5" s="2">
        <v>0</v>
      </c>
      <c r="CY5" s="2">
        <v>5</v>
      </c>
      <c r="CZ5" s="2">
        <v>1</v>
      </c>
      <c r="DA5" s="2">
        <v>0</v>
      </c>
      <c r="DB5" s="2">
        <v>4</v>
      </c>
      <c r="DC5" s="2">
        <v>2</v>
      </c>
      <c r="DD5" s="2">
        <v>0</v>
      </c>
      <c r="DF5" s="2">
        <v>72000</v>
      </c>
      <c r="DG5" s="2">
        <v>21300</v>
      </c>
      <c r="DH5" s="2">
        <v>1000</v>
      </c>
      <c r="DI5" s="2">
        <v>161000</v>
      </c>
      <c r="DJ5" s="2">
        <v>44300</v>
      </c>
      <c r="DK5" s="2">
        <v>1100</v>
      </c>
      <c r="DL5" s="2">
        <v>0</v>
      </c>
      <c r="DM5" s="2">
        <v>0</v>
      </c>
      <c r="DN5" s="2">
        <v>0</v>
      </c>
      <c r="DO5" s="2">
        <v>13100</v>
      </c>
      <c r="DP5" s="2">
        <v>4000</v>
      </c>
      <c r="DQ5" s="2">
        <v>100</v>
      </c>
      <c r="DR5" s="2">
        <v>0</v>
      </c>
      <c r="DS5" s="2">
        <v>0</v>
      </c>
      <c r="DT5" s="2">
        <v>0</v>
      </c>
      <c r="DU5" s="2">
        <v>700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B5" s="2">
        <v>32</v>
      </c>
      <c r="EC5" s="2">
        <v>3</v>
      </c>
      <c r="ED5" s="2">
        <v>0</v>
      </c>
      <c r="EE5" s="2">
        <v>56</v>
      </c>
      <c r="EF5" s="2">
        <v>13</v>
      </c>
      <c r="EG5" s="2">
        <v>0</v>
      </c>
      <c r="EH5" s="2">
        <v>0</v>
      </c>
      <c r="EI5" s="2">
        <v>0</v>
      </c>
      <c r="EJ5" s="2">
        <v>0</v>
      </c>
      <c r="EK5" s="2">
        <v>4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1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X5" s="2">
        <v>64</v>
      </c>
      <c r="EY5" s="2">
        <v>11</v>
      </c>
      <c r="EZ5" s="2">
        <v>0</v>
      </c>
      <c r="FA5" s="2">
        <v>203</v>
      </c>
      <c r="FB5" s="2">
        <v>21</v>
      </c>
      <c r="FC5" s="2">
        <v>0</v>
      </c>
      <c r="FD5" s="2">
        <v>0</v>
      </c>
      <c r="FE5" s="2">
        <v>0</v>
      </c>
      <c r="FF5" s="2">
        <v>0</v>
      </c>
      <c r="FG5" s="2">
        <v>17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</row>
    <row r="6" spans="1:174" x14ac:dyDescent="0.35">
      <c r="A6" s="2" t="s">
        <v>24</v>
      </c>
      <c r="B6" t="s">
        <v>38</v>
      </c>
      <c r="C6" s="2">
        <v>56000</v>
      </c>
      <c r="D6" s="2">
        <v>34400</v>
      </c>
      <c r="E6" s="2">
        <v>35900</v>
      </c>
      <c r="F6" s="2">
        <v>50900</v>
      </c>
      <c r="G6" s="2">
        <v>7700</v>
      </c>
      <c r="H6" s="2">
        <v>37700</v>
      </c>
      <c r="I6" s="2">
        <v>39000</v>
      </c>
      <c r="J6" s="2">
        <v>50100</v>
      </c>
      <c r="K6" s="2">
        <v>5400</v>
      </c>
      <c r="L6" s="2">
        <v>212</v>
      </c>
      <c r="M6" s="2">
        <v>40761</v>
      </c>
      <c r="N6" s="2">
        <v>10421</v>
      </c>
      <c r="O6" s="2">
        <v>90</v>
      </c>
      <c r="P6" s="2">
        <v>67900</v>
      </c>
      <c r="Q6" s="2">
        <v>55500</v>
      </c>
      <c r="R6" s="2">
        <v>59100</v>
      </c>
      <c r="S6" s="2">
        <v>58300</v>
      </c>
      <c r="T6" s="2">
        <v>7900</v>
      </c>
      <c r="U6" s="2">
        <v>57300</v>
      </c>
      <c r="V6" s="2">
        <v>63600</v>
      </c>
      <c r="W6" s="2">
        <v>59300</v>
      </c>
      <c r="X6" s="2">
        <v>5700</v>
      </c>
      <c r="Y6" s="2">
        <v>215</v>
      </c>
      <c r="Z6" s="2">
        <v>53820</v>
      </c>
      <c r="AA6" s="2">
        <v>14118</v>
      </c>
      <c r="AB6" s="2">
        <v>118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1800</v>
      </c>
      <c r="AP6" s="2">
        <v>11200</v>
      </c>
      <c r="AQ6" s="2">
        <v>1300</v>
      </c>
      <c r="AR6" s="2">
        <v>200</v>
      </c>
      <c r="AS6" s="2">
        <v>0</v>
      </c>
      <c r="AT6" s="2">
        <v>11000</v>
      </c>
      <c r="AU6" s="2">
        <v>1400</v>
      </c>
      <c r="AV6" s="2">
        <v>200</v>
      </c>
      <c r="AW6" s="2">
        <v>0</v>
      </c>
      <c r="AX6" s="2">
        <v>0</v>
      </c>
      <c r="AY6" s="2">
        <v>4541</v>
      </c>
      <c r="AZ6" s="2">
        <v>672</v>
      </c>
      <c r="BA6" s="5">
        <v>24800</v>
      </c>
      <c r="BB6" s="5">
        <v>0</v>
      </c>
      <c r="BC6" s="5">
        <v>0</v>
      </c>
      <c r="BD6" s="5">
        <v>0</v>
      </c>
      <c r="BE6" s="5">
        <v>0</v>
      </c>
      <c r="BF6" s="5">
        <v>6200</v>
      </c>
      <c r="BG6" s="5">
        <v>0</v>
      </c>
      <c r="BH6" s="5">
        <v>0</v>
      </c>
      <c r="BI6" s="5">
        <v>0</v>
      </c>
      <c r="BJ6" s="5">
        <v>0</v>
      </c>
      <c r="BK6" s="5">
        <v>7500</v>
      </c>
      <c r="BL6" s="5">
        <v>1400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100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J6" s="2">
        <v>62</v>
      </c>
      <c r="CK6" s="2">
        <v>21</v>
      </c>
      <c r="CL6" s="2">
        <v>4</v>
      </c>
      <c r="CM6" s="2">
        <v>78</v>
      </c>
      <c r="CN6" s="2">
        <v>27</v>
      </c>
      <c r="CO6" s="2">
        <v>4</v>
      </c>
      <c r="CP6" s="2">
        <v>0</v>
      </c>
      <c r="CQ6" s="2">
        <v>0</v>
      </c>
      <c r="CR6" s="2">
        <v>0</v>
      </c>
      <c r="CS6" s="2">
        <v>3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3</v>
      </c>
      <c r="DC6" s="2">
        <v>1</v>
      </c>
      <c r="DD6" s="2">
        <v>0</v>
      </c>
      <c r="DF6" s="2">
        <v>88000</v>
      </c>
      <c r="DG6" s="2">
        <v>45000</v>
      </c>
      <c r="DH6" s="2">
        <v>3700</v>
      </c>
      <c r="DI6" s="2">
        <v>118400</v>
      </c>
      <c r="DJ6" s="2">
        <v>59700</v>
      </c>
      <c r="DK6" s="2">
        <v>3800</v>
      </c>
      <c r="DL6" s="2">
        <v>0</v>
      </c>
      <c r="DM6" s="2">
        <v>0</v>
      </c>
      <c r="DN6" s="2">
        <v>0</v>
      </c>
      <c r="DO6" s="2">
        <v>14600</v>
      </c>
      <c r="DP6" s="2">
        <v>700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B6" s="2">
        <v>36</v>
      </c>
      <c r="EC6" s="2">
        <v>7</v>
      </c>
      <c r="ED6" s="2">
        <v>0</v>
      </c>
      <c r="EE6" s="2">
        <v>74</v>
      </c>
      <c r="EF6" s="2">
        <v>12</v>
      </c>
      <c r="EG6" s="2">
        <v>0</v>
      </c>
      <c r="EH6" s="2">
        <v>0</v>
      </c>
      <c r="EI6" s="2">
        <v>0</v>
      </c>
      <c r="EJ6" s="2">
        <v>0</v>
      </c>
      <c r="EK6" s="2">
        <v>8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X6" s="2">
        <v>344</v>
      </c>
      <c r="EY6" s="2">
        <v>114</v>
      </c>
      <c r="EZ6" s="2">
        <v>0</v>
      </c>
      <c r="FA6" s="2">
        <v>474</v>
      </c>
      <c r="FB6" s="2">
        <v>143</v>
      </c>
      <c r="FC6" s="2">
        <v>0</v>
      </c>
      <c r="FD6" s="2">
        <v>0</v>
      </c>
      <c r="FE6" s="2">
        <v>0</v>
      </c>
      <c r="FF6" s="2">
        <v>0</v>
      </c>
      <c r="FG6" s="2">
        <v>32</v>
      </c>
      <c r="FH6" s="2">
        <v>1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</row>
    <row r="7" spans="1:174" x14ac:dyDescent="0.35">
      <c r="A7" s="2" t="s">
        <v>25</v>
      </c>
      <c r="B7" t="s">
        <v>39</v>
      </c>
      <c r="C7" s="2">
        <v>47973</v>
      </c>
      <c r="D7" s="2">
        <v>29120</v>
      </c>
      <c r="E7" s="2">
        <v>25987</v>
      </c>
      <c r="F7" s="2">
        <v>20516</v>
      </c>
      <c r="G7" s="2">
        <v>673</v>
      </c>
      <c r="H7" s="2">
        <v>36146</v>
      </c>
      <c r="I7" s="2">
        <v>28704</v>
      </c>
      <c r="J7" s="2">
        <v>22151</v>
      </c>
      <c r="K7" s="2">
        <v>1156</v>
      </c>
      <c r="L7" s="2">
        <v>38</v>
      </c>
      <c r="M7" s="2">
        <v>23929</v>
      </c>
      <c r="N7" s="2">
        <v>6217</v>
      </c>
      <c r="O7" s="2">
        <v>50</v>
      </c>
      <c r="P7" s="2">
        <v>58328</v>
      </c>
      <c r="Q7" s="2">
        <v>50324</v>
      </c>
      <c r="R7" s="2">
        <v>48160</v>
      </c>
      <c r="S7" s="2">
        <v>23422</v>
      </c>
      <c r="T7" s="2">
        <v>723</v>
      </c>
      <c r="U7" s="2">
        <v>55305</v>
      </c>
      <c r="V7" s="2">
        <v>52041</v>
      </c>
      <c r="W7" s="2">
        <v>26268</v>
      </c>
      <c r="X7" s="2">
        <v>1178</v>
      </c>
      <c r="Y7" s="2">
        <v>38</v>
      </c>
      <c r="Z7" s="2">
        <v>35053</v>
      </c>
      <c r="AA7" s="2">
        <v>9250</v>
      </c>
      <c r="AB7" s="2">
        <v>74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5057</v>
      </c>
      <c r="AP7" s="2">
        <v>4662</v>
      </c>
      <c r="AQ7" s="2">
        <v>7889</v>
      </c>
      <c r="AR7" s="2">
        <v>11</v>
      </c>
      <c r="AS7" s="2">
        <v>0</v>
      </c>
      <c r="AT7" s="2">
        <v>3416</v>
      </c>
      <c r="AU7" s="2">
        <v>9568</v>
      </c>
      <c r="AV7" s="2">
        <v>608</v>
      </c>
      <c r="AW7" s="2">
        <v>0</v>
      </c>
      <c r="AX7" s="2">
        <v>0</v>
      </c>
      <c r="AY7" s="2">
        <v>3877</v>
      </c>
      <c r="AZ7" s="2">
        <v>1630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9841</v>
      </c>
      <c r="BZ7" s="2">
        <v>2182</v>
      </c>
      <c r="CA7" s="2">
        <v>286</v>
      </c>
      <c r="CB7" s="2">
        <v>0</v>
      </c>
      <c r="CC7" s="2">
        <v>0</v>
      </c>
      <c r="CD7" s="2">
        <v>3186</v>
      </c>
      <c r="CE7" s="2">
        <v>1077</v>
      </c>
      <c r="CF7" s="2">
        <v>137</v>
      </c>
      <c r="CG7" s="2">
        <v>0</v>
      </c>
      <c r="CH7" s="2">
        <v>0</v>
      </c>
      <c r="CJ7" s="2">
        <v>58</v>
      </c>
      <c r="CK7" s="2">
        <v>23</v>
      </c>
      <c r="CL7" s="2">
        <v>6</v>
      </c>
      <c r="CM7" s="2">
        <v>66</v>
      </c>
      <c r="CN7" s="2">
        <v>27</v>
      </c>
      <c r="CO7" s="2">
        <v>6</v>
      </c>
      <c r="CP7" s="2">
        <v>0</v>
      </c>
      <c r="CQ7" s="2">
        <v>0</v>
      </c>
      <c r="CR7" s="2">
        <v>0</v>
      </c>
      <c r="CS7" s="2">
        <v>3</v>
      </c>
      <c r="CT7" s="2">
        <v>1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28</v>
      </c>
      <c r="DC7" s="2">
        <v>11</v>
      </c>
      <c r="DD7" s="2">
        <v>3</v>
      </c>
      <c r="DF7" s="2">
        <v>36706</v>
      </c>
      <c r="DG7" s="2">
        <v>22142</v>
      </c>
      <c r="DH7" s="2">
        <v>321</v>
      </c>
      <c r="DI7" s="2">
        <v>51731</v>
      </c>
      <c r="DJ7" s="2">
        <v>34083</v>
      </c>
      <c r="DK7" s="2">
        <v>344</v>
      </c>
      <c r="DL7" s="2">
        <v>0</v>
      </c>
      <c r="DM7" s="2">
        <v>0</v>
      </c>
      <c r="DN7" s="2">
        <v>0</v>
      </c>
      <c r="DO7" s="2">
        <v>4628</v>
      </c>
      <c r="DP7" s="2">
        <v>3762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5725</v>
      </c>
      <c r="DY7" s="2">
        <v>136</v>
      </c>
      <c r="DZ7" s="2">
        <v>0</v>
      </c>
      <c r="EB7" s="2">
        <v>44</v>
      </c>
      <c r="EC7" s="2">
        <v>14</v>
      </c>
      <c r="ED7" s="2">
        <v>0</v>
      </c>
      <c r="EE7" s="2">
        <v>51</v>
      </c>
      <c r="EF7" s="2">
        <v>23</v>
      </c>
      <c r="EG7" s="2">
        <v>0</v>
      </c>
      <c r="EH7" s="2">
        <v>0</v>
      </c>
      <c r="EI7" s="2">
        <v>0</v>
      </c>
      <c r="EJ7" s="2">
        <v>0</v>
      </c>
      <c r="EK7" s="2">
        <v>5</v>
      </c>
      <c r="EL7" s="2">
        <v>1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12</v>
      </c>
      <c r="EU7" s="2">
        <v>0</v>
      </c>
      <c r="EV7" s="2">
        <v>0</v>
      </c>
      <c r="EX7" s="2">
        <v>248</v>
      </c>
      <c r="EY7" s="2">
        <v>60</v>
      </c>
      <c r="EZ7" s="2">
        <v>7</v>
      </c>
      <c r="FA7" s="2">
        <v>325</v>
      </c>
      <c r="FB7" s="2">
        <v>90</v>
      </c>
      <c r="FC7" s="2">
        <v>7</v>
      </c>
      <c r="FD7" s="2">
        <v>0</v>
      </c>
      <c r="FE7" s="2">
        <v>0</v>
      </c>
      <c r="FF7" s="2">
        <v>0</v>
      </c>
      <c r="FG7" s="2">
        <v>16</v>
      </c>
      <c r="FH7" s="2">
        <v>2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33</v>
      </c>
      <c r="FQ7" s="2">
        <v>0</v>
      </c>
      <c r="FR7" s="2">
        <v>0</v>
      </c>
    </row>
    <row r="8" spans="1:174" x14ac:dyDescent="0.35">
      <c r="A8" s="2" t="s">
        <v>26</v>
      </c>
      <c r="B8" t="s">
        <v>55</v>
      </c>
      <c r="C8" s="2">
        <v>47700</v>
      </c>
      <c r="D8" s="2">
        <v>26700</v>
      </c>
      <c r="E8" s="2">
        <v>15100</v>
      </c>
      <c r="F8" s="2">
        <v>7400</v>
      </c>
      <c r="G8" s="2">
        <v>100</v>
      </c>
      <c r="H8" s="2">
        <v>36400</v>
      </c>
      <c r="I8" s="2">
        <v>19900</v>
      </c>
      <c r="J8" s="2">
        <v>9300</v>
      </c>
      <c r="K8" s="2">
        <v>200</v>
      </c>
      <c r="L8" s="2">
        <v>0</v>
      </c>
      <c r="M8" s="2">
        <v>29908</v>
      </c>
      <c r="N8" s="2">
        <v>11313</v>
      </c>
      <c r="O8" s="2">
        <v>34</v>
      </c>
      <c r="P8" s="2">
        <v>87200</v>
      </c>
      <c r="Q8" s="2">
        <v>62300</v>
      </c>
      <c r="R8" s="2">
        <v>36900</v>
      </c>
      <c r="S8" s="2">
        <v>10300</v>
      </c>
      <c r="T8" s="2">
        <v>100</v>
      </c>
      <c r="U8" s="2">
        <v>67100</v>
      </c>
      <c r="V8" s="2">
        <v>42300</v>
      </c>
      <c r="W8" s="2">
        <v>12200</v>
      </c>
      <c r="X8" s="2">
        <v>300</v>
      </c>
      <c r="Y8" s="2">
        <v>0</v>
      </c>
      <c r="Z8" s="2">
        <v>48941</v>
      </c>
      <c r="AA8" s="2">
        <v>18688</v>
      </c>
      <c r="AB8" s="2">
        <v>68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5600</v>
      </c>
      <c r="AP8" s="2">
        <v>10100</v>
      </c>
      <c r="AQ8" s="2">
        <v>4000</v>
      </c>
      <c r="AR8" s="2">
        <v>0</v>
      </c>
      <c r="AS8" s="2">
        <v>0</v>
      </c>
      <c r="AT8" s="2">
        <v>7600</v>
      </c>
      <c r="AU8" s="2">
        <v>8600</v>
      </c>
      <c r="AV8" s="2">
        <v>200</v>
      </c>
      <c r="AW8" s="2">
        <v>0</v>
      </c>
      <c r="AX8" s="2">
        <v>0</v>
      </c>
      <c r="AY8" s="2">
        <v>6099</v>
      </c>
      <c r="AZ8" s="2">
        <v>2223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600</v>
      </c>
      <c r="BZ8" s="2">
        <v>100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J8" s="2">
        <v>54</v>
      </c>
      <c r="CK8" s="2">
        <v>16</v>
      </c>
      <c r="CL8" s="2">
        <v>4</v>
      </c>
      <c r="CM8" s="2">
        <v>72</v>
      </c>
      <c r="CN8" s="2">
        <v>22</v>
      </c>
      <c r="CO8" s="2">
        <v>4</v>
      </c>
      <c r="CP8" s="2">
        <v>0</v>
      </c>
      <c r="CQ8" s="2">
        <v>0</v>
      </c>
      <c r="CR8" s="2">
        <v>0</v>
      </c>
      <c r="CS8" s="2">
        <v>3</v>
      </c>
      <c r="CT8" s="2">
        <v>1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3</v>
      </c>
      <c r="DC8" s="2">
        <v>1</v>
      </c>
      <c r="DD8" s="2">
        <v>0</v>
      </c>
      <c r="DF8" s="2">
        <v>62600</v>
      </c>
      <c r="DG8" s="2">
        <v>16500</v>
      </c>
      <c r="DH8" s="2">
        <v>600</v>
      </c>
      <c r="DI8" s="2">
        <v>129700</v>
      </c>
      <c r="DJ8" s="2">
        <v>42700</v>
      </c>
      <c r="DK8" s="2">
        <v>600</v>
      </c>
      <c r="DL8" s="2">
        <v>0</v>
      </c>
      <c r="DM8" s="2">
        <v>0</v>
      </c>
      <c r="DN8" s="2">
        <v>0</v>
      </c>
      <c r="DO8" s="2">
        <v>12400</v>
      </c>
      <c r="DP8" s="2">
        <v>5700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800</v>
      </c>
      <c r="DY8" s="2">
        <v>0</v>
      </c>
      <c r="DZ8" s="2">
        <v>0</v>
      </c>
      <c r="EB8" s="2">
        <v>22</v>
      </c>
      <c r="EC8" s="2">
        <v>5</v>
      </c>
      <c r="ED8" s="2">
        <v>1</v>
      </c>
      <c r="EE8" s="2">
        <v>38</v>
      </c>
      <c r="EF8" s="2">
        <v>9</v>
      </c>
      <c r="EG8" s="2">
        <v>2</v>
      </c>
      <c r="EH8" s="2">
        <v>0</v>
      </c>
      <c r="EI8" s="2">
        <v>0</v>
      </c>
      <c r="EJ8" s="2">
        <v>0</v>
      </c>
      <c r="EK8" s="2">
        <v>2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X8" s="2">
        <v>45</v>
      </c>
      <c r="EY8" s="2">
        <v>19</v>
      </c>
      <c r="EZ8" s="2">
        <v>0</v>
      </c>
      <c r="FA8" s="2">
        <v>61</v>
      </c>
      <c r="FB8" s="2">
        <v>27</v>
      </c>
      <c r="FC8" s="2">
        <v>1</v>
      </c>
      <c r="FD8" s="2">
        <v>0</v>
      </c>
      <c r="FE8" s="2">
        <v>0</v>
      </c>
      <c r="FF8" s="2">
        <v>0</v>
      </c>
      <c r="FG8" s="2">
        <v>13</v>
      </c>
      <c r="FH8" s="2">
        <v>1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</row>
    <row r="9" spans="1:174" x14ac:dyDescent="0.35">
      <c r="A9" s="2" t="s">
        <v>27</v>
      </c>
      <c r="B9" t="s">
        <v>54</v>
      </c>
      <c r="C9" s="2">
        <v>29200</v>
      </c>
      <c r="D9" s="2">
        <v>15500</v>
      </c>
      <c r="E9" s="2">
        <v>11300</v>
      </c>
      <c r="F9" s="2">
        <v>8700</v>
      </c>
      <c r="G9" s="2">
        <v>400</v>
      </c>
      <c r="H9" s="2">
        <v>21800</v>
      </c>
      <c r="I9" s="2">
        <v>13000</v>
      </c>
      <c r="J9" s="2">
        <v>10000</v>
      </c>
      <c r="K9" s="2">
        <v>800</v>
      </c>
      <c r="L9" s="2">
        <v>0</v>
      </c>
      <c r="M9" s="2">
        <v>11912</v>
      </c>
      <c r="N9" s="2">
        <v>3116</v>
      </c>
      <c r="O9" s="2">
        <v>24</v>
      </c>
      <c r="P9" s="2">
        <v>39300</v>
      </c>
      <c r="Q9" s="2">
        <v>29700</v>
      </c>
      <c r="R9" s="2">
        <v>29400</v>
      </c>
      <c r="S9" s="2">
        <v>12000</v>
      </c>
      <c r="T9" s="2">
        <v>500</v>
      </c>
      <c r="U9" s="2">
        <v>35500</v>
      </c>
      <c r="V9" s="2">
        <v>31600</v>
      </c>
      <c r="W9" s="2">
        <v>14400</v>
      </c>
      <c r="X9" s="2">
        <v>900</v>
      </c>
      <c r="Y9" s="2">
        <v>0</v>
      </c>
      <c r="Z9" s="2">
        <v>20963</v>
      </c>
      <c r="AA9" s="2">
        <v>5584</v>
      </c>
      <c r="AB9" s="2">
        <v>44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2800</v>
      </c>
      <c r="AP9" s="2">
        <v>1300</v>
      </c>
      <c r="AQ9" s="2">
        <v>800</v>
      </c>
      <c r="AR9" s="2">
        <v>0</v>
      </c>
      <c r="AS9" s="2">
        <v>0</v>
      </c>
      <c r="AT9" s="2">
        <v>1200</v>
      </c>
      <c r="AU9" s="2">
        <v>500</v>
      </c>
      <c r="AV9" s="2">
        <v>0</v>
      </c>
      <c r="AW9" s="2">
        <v>0</v>
      </c>
      <c r="AX9" s="2">
        <v>0</v>
      </c>
      <c r="AY9" s="2">
        <v>866</v>
      </c>
      <c r="AZ9" s="2">
        <v>154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500</v>
      </c>
      <c r="BZ9" s="2">
        <v>100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J9" s="2">
        <v>29</v>
      </c>
      <c r="CK9" s="2">
        <v>11</v>
      </c>
      <c r="CL9" s="2">
        <v>4</v>
      </c>
      <c r="CM9" s="2">
        <v>52</v>
      </c>
      <c r="CN9" s="2">
        <v>17</v>
      </c>
      <c r="CO9" s="2">
        <v>4</v>
      </c>
      <c r="CP9" s="2">
        <v>0</v>
      </c>
      <c r="CQ9" s="2">
        <v>0</v>
      </c>
      <c r="CR9" s="2">
        <v>0</v>
      </c>
      <c r="CS9" s="2">
        <v>2</v>
      </c>
      <c r="CT9" s="2">
        <v>1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3</v>
      </c>
      <c r="DC9" s="2">
        <v>2</v>
      </c>
      <c r="DD9" s="2">
        <v>0</v>
      </c>
      <c r="DF9" s="2">
        <v>35600</v>
      </c>
      <c r="DG9" s="2">
        <v>11700</v>
      </c>
      <c r="DH9" s="2">
        <v>200</v>
      </c>
      <c r="DI9" s="2">
        <v>60100</v>
      </c>
      <c r="DJ9" s="2">
        <v>24400</v>
      </c>
      <c r="DK9" s="2">
        <v>200</v>
      </c>
      <c r="DL9" s="2">
        <v>0</v>
      </c>
      <c r="DM9" s="2">
        <v>0</v>
      </c>
      <c r="DN9" s="2">
        <v>0</v>
      </c>
      <c r="DO9" s="2">
        <v>3000</v>
      </c>
      <c r="DP9" s="2">
        <v>400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300</v>
      </c>
      <c r="DY9" s="2">
        <v>0</v>
      </c>
      <c r="DZ9" s="2">
        <v>0</v>
      </c>
      <c r="EB9" s="2">
        <v>0</v>
      </c>
      <c r="EC9" s="2">
        <v>4</v>
      </c>
      <c r="ED9" s="2">
        <v>0</v>
      </c>
      <c r="EE9" s="2">
        <v>5</v>
      </c>
      <c r="EF9" s="2">
        <v>4</v>
      </c>
      <c r="EG9" s="2">
        <v>0</v>
      </c>
      <c r="EH9" s="2">
        <v>0</v>
      </c>
      <c r="EI9" s="2">
        <v>0</v>
      </c>
      <c r="EJ9" s="2">
        <v>0</v>
      </c>
      <c r="EK9" s="2">
        <v>2</v>
      </c>
      <c r="EL9" s="2">
        <v>2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X9" s="2">
        <v>11</v>
      </c>
      <c r="EY9" s="2">
        <v>6</v>
      </c>
      <c r="EZ9" s="2">
        <v>1</v>
      </c>
      <c r="FA9" s="2">
        <v>22</v>
      </c>
      <c r="FB9" s="2">
        <v>15</v>
      </c>
      <c r="FC9" s="2">
        <v>0</v>
      </c>
      <c r="FD9" s="2">
        <v>0</v>
      </c>
      <c r="FE9" s="2">
        <v>0</v>
      </c>
      <c r="FF9" s="2">
        <v>0</v>
      </c>
      <c r="FG9" s="2">
        <v>5</v>
      </c>
      <c r="FH9" s="2">
        <v>3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</row>
    <row r="10" spans="1:174" x14ac:dyDescent="0.35">
      <c r="A10" s="2" t="s">
        <v>28</v>
      </c>
      <c r="B10" t="s">
        <v>56</v>
      </c>
      <c r="C10" s="2">
        <v>45200</v>
      </c>
      <c r="D10" s="2">
        <v>19800</v>
      </c>
      <c r="E10" s="2">
        <v>12900</v>
      </c>
      <c r="F10" s="2">
        <v>6400</v>
      </c>
      <c r="G10" s="2">
        <v>400</v>
      </c>
      <c r="H10" s="2">
        <v>30900</v>
      </c>
      <c r="I10" s="2">
        <v>15800</v>
      </c>
      <c r="J10" s="2">
        <v>8200</v>
      </c>
      <c r="K10" s="2">
        <v>800</v>
      </c>
      <c r="L10" s="2">
        <v>0</v>
      </c>
      <c r="M10" s="2">
        <v>14271</v>
      </c>
      <c r="N10" s="2">
        <v>3597</v>
      </c>
      <c r="O10" s="2">
        <v>27</v>
      </c>
      <c r="P10" s="2">
        <v>74700</v>
      </c>
      <c r="Q10" s="2">
        <v>55700</v>
      </c>
      <c r="R10" s="2">
        <v>33200</v>
      </c>
      <c r="S10" s="2">
        <v>12200</v>
      </c>
      <c r="T10" s="2">
        <v>400</v>
      </c>
      <c r="U10" s="2">
        <v>65500</v>
      </c>
      <c r="V10" s="2">
        <v>38400</v>
      </c>
      <c r="W10" s="2">
        <v>15300</v>
      </c>
      <c r="X10" s="2">
        <v>1100</v>
      </c>
      <c r="Y10" s="2">
        <v>0</v>
      </c>
      <c r="Z10" s="2">
        <v>30780</v>
      </c>
      <c r="AA10" s="2">
        <v>7668</v>
      </c>
      <c r="AB10" s="2">
        <v>61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5000</v>
      </c>
      <c r="AP10" s="2">
        <v>4000</v>
      </c>
      <c r="AQ10" s="2">
        <v>3000</v>
      </c>
      <c r="AR10" s="2">
        <v>2300</v>
      </c>
      <c r="AS10" s="2">
        <v>0</v>
      </c>
      <c r="AT10" s="2">
        <v>4600</v>
      </c>
      <c r="AU10" s="2">
        <v>3400</v>
      </c>
      <c r="AV10" s="2">
        <v>2800</v>
      </c>
      <c r="AW10" s="2">
        <v>900</v>
      </c>
      <c r="AX10" s="2">
        <v>0</v>
      </c>
      <c r="AY10" s="2">
        <v>3249</v>
      </c>
      <c r="AZ10" s="2">
        <v>1617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100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J10" s="2">
        <v>96</v>
      </c>
      <c r="CK10" s="2">
        <v>27</v>
      </c>
      <c r="CL10" s="2">
        <v>6</v>
      </c>
      <c r="CM10" s="2">
        <v>137</v>
      </c>
      <c r="CN10" s="2">
        <v>39</v>
      </c>
      <c r="CO10" s="2">
        <v>6</v>
      </c>
      <c r="CP10" s="2">
        <v>0</v>
      </c>
      <c r="CQ10" s="2">
        <v>0</v>
      </c>
      <c r="CR10" s="2">
        <v>0</v>
      </c>
      <c r="CS10" s="2">
        <v>3</v>
      </c>
      <c r="CT10" s="2">
        <v>1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1</v>
      </c>
      <c r="DC10" s="2">
        <v>0</v>
      </c>
      <c r="DD10" s="2">
        <v>0</v>
      </c>
      <c r="DF10" s="2">
        <v>40300</v>
      </c>
      <c r="DG10" s="2">
        <v>9400</v>
      </c>
      <c r="DH10" s="2">
        <v>200</v>
      </c>
      <c r="DI10" s="2">
        <v>83900</v>
      </c>
      <c r="DJ10" s="2">
        <v>21800</v>
      </c>
      <c r="DK10" s="2">
        <v>200</v>
      </c>
      <c r="DL10" s="2">
        <v>0</v>
      </c>
      <c r="DM10" s="2">
        <v>0</v>
      </c>
      <c r="DN10" s="2">
        <v>0</v>
      </c>
      <c r="DO10" s="2">
        <v>6900</v>
      </c>
      <c r="DP10" s="2">
        <v>2600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100</v>
      </c>
      <c r="DY10" s="2">
        <v>0</v>
      </c>
      <c r="DZ10" s="2">
        <v>0</v>
      </c>
      <c r="EB10" s="2">
        <v>10</v>
      </c>
      <c r="EC10" s="2">
        <v>4</v>
      </c>
      <c r="ED10" s="2">
        <v>0</v>
      </c>
      <c r="EE10" s="2">
        <v>40</v>
      </c>
      <c r="EF10" s="2">
        <v>7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X10" s="2">
        <v>184</v>
      </c>
      <c r="EY10" s="2">
        <v>20</v>
      </c>
      <c r="EZ10" s="2">
        <v>0</v>
      </c>
      <c r="FA10" s="2">
        <v>368</v>
      </c>
      <c r="FB10" s="2">
        <v>41</v>
      </c>
      <c r="FC10" s="2">
        <v>1</v>
      </c>
      <c r="FD10" s="2">
        <v>0</v>
      </c>
      <c r="FE10" s="2">
        <v>0</v>
      </c>
      <c r="FF10" s="2">
        <v>0</v>
      </c>
      <c r="FG10" s="2">
        <v>31</v>
      </c>
      <c r="FH10" s="2">
        <v>2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3</v>
      </c>
      <c r="FQ10" s="2">
        <v>0</v>
      </c>
      <c r="FR10" s="2">
        <v>0</v>
      </c>
    </row>
    <row r="11" spans="1:174" x14ac:dyDescent="0.35">
      <c r="A11" s="2" t="s">
        <v>29</v>
      </c>
      <c r="B11" t="s">
        <v>57</v>
      </c>
      <c r="C11" s="2">
        <v>40400</v>
      </c>
      <c r="D11" s="2">
        <v>24500</v>
      </c>
      <c r="E11" s="2">
        <v>19900</v>
      </c>
      <c r="F11" s="2">
        <v>15600</v>
      </c>
      <c r="G11" s="2">
        <v>3500</v>
      </c>
      <c r="H11" s="2">
        <v>27200</v>
      </c>
      <c r="I11" s="2">
        <v>19600</v>
      </c>
      <c r="J11" s="2">
        <v>17400</v>
      </c>
      <c r="K11" s="2">
        <v>4700</v>
      </c>
      <c r="L11" s="2">
        <v>36</v>
      </c>
      <c r="M11" s="2">
        <v>20400</v>
      </c>
      <c r="N11" s="2">
        <v>5100</v>
      </c>
      <c r="O11" s="2">
        <v>43</v>
      </c>
      <c r="P11" s="2">
        <v>53800</v>
      </c>
      <c r="Q11" s="2">
        <v>59700</v>
      </c>
      <c r="R11" s="2">
        <v>45500</v>
      </c>
      <c r="S11" s="2">
        <v>19400</v>
      </c>
      <c r="T11" s="2">
        <v>3600</v>
      </c>
      <c r="U11" s="2">
        <v>57800</v>
      </c>
      <c r="V11" s="2">
        <v>52100</v>
      </c>
      <c r="W11" s="2">
        <v>24900</v>
      </c>
      <c r="X11" s="2">
        <v>5100</v>
      </c>
      <c r="Y11" s="2">
        <v>48</v>
      </c>
      <c r="Z11" s="2">
        <v>35400</v>
      </c>
      <c r="AA11" s="2">
        <v>9800</v>
      </c>
      <c r="AB11" s="2">
        <v>76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9200</v>
      </c>
      <c r="AP11" s="2">
        <v>4600</v>
      </c>
      <c r="AQ11" s="2">
        <v>4600</v>
      </c>
      <c r="AR11" s="2">
        <v>2800</v>
      </c>
      <c r="AS11" s="2">
        <v>16</v>
      </c>
      <c r="AT11" s="2">
        <v>6800</v>
      </c>
      <c r="AU11" s="2">
        <v>4400</v>
      </c>
      <c r="AV11" s="2">
        <v>5000</v>
      </c>
      <c r="AW11" s="2">
        <v>500</v>
      </c>
      <c r="AX11" s="2">
        <v>0</v>
      </c>
      <c r="AY11" s="2">
        <v>3900</v>
      </c>
      <c r="AZ11" s="2">
        <v>1200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300</v>
      </c>
      <c r="BZ11" s="2">
        <v>100</v>
      </c>
      <c r="CA11" s="2">
        <v>22</v>
      </c>
      <c r="CB11" s="2">
        <v>19</v>
      </c>
      <c r="CC11" s="2">
        <v>0</v>
      </c>
      <c r="CD11" s="2">
        <v>200</v>
      </c>
      <c r="CE11" s="2">
        <v>4</v>
      </c>
      <c r="CF11" s="2">
        <v>33</v>
      </c>
      <c r="CG11" s="2">
        <v>3</v>
      </c>
      <c r="CH11" s="2">
        <v>0</v>
      </c>
      <c r="CJ11" s="2">
        <v>55</v>
      </c>
      <c r="CK11" s="2">
        <v>19</v>
      </c>
      <c r="CL11" s="2">
        <v>4</v>
      </c>
      <c r="CM11" s="2">
        <v>66</v>
      </c>
      <c r="CN11" s="2">
        <v>23</v>
      </c>
      <c r="CO11" s="2">
        <v>4</v>
      </c>
      <c r="CP11" s="2">
        <v>0</v>
      </c>
      <c r="CQ11" s="2">
        <v>0</v>
      </c>
      <c r="CR11" s="2">
        <v>0</v>
      </c>
      <c r="CS11" s="2">
        <v>7</v>
      </c>
      <c r="CT11" s="2">
        <v>2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F11" s="2">
        <v>49500</v>
      </c>
      <c r="DG11" s="2">
        <v>18500</v>
      </c>
      <c r="DH11" s="2">
        <v>1700</v>
      </c>
      <c r="DI11" s="2">
        <v>86700</v>
      </c>
      <c r="DJ11" s="2">
        <v>32600</v>
      </c>
      <c r="DK11" s="2">
        <v>1700</v>
      </c>
      <c r="DL11" s="2">
        <v>0</v>
      </c>
      <c r="DM11" s="2">
        <v>0</v>
      </c>
      <c r="DN11" s="2">
        <v>0</v>
      </c>
      <c r="DO11" s="2">
        <v>10100</v>
      </c>
      <c r="DP11" s="2">
        <v>3600</v>
      </c>
      <c r="DQ11" s="2">
        <v>7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200</v>
      </c>
      <c r="DY11" s="2">
        <v>19</v>
      </c>
      <c r="DZ11" s="2">
        <v>0</v>
      </c>
      <c r="EB11" s="2">
        <v>33</v>
      </c>
      <c r="EC11" s="2">
        <v>9</v>
      </c>
      <c r="ED11" s="2">
        <v>0</v>
      </c>
      <c r="EE11" s="2">
        <v>47</v>
      </c>
      <c r="EF11" s="2">
        <v>15</v>
      </c>
      <c r="EG11" s="2">
        <v>0</v>
      </c>
      <c r="EH11" s="2">
        <v>0</v>
      </c>
      <c r="EI11" s="2">
        <v>0</v>
      </c>
      <c r="EJ11" s="2">
        <v>0</v>
      </c>
      <c r="EK11" s="2">
        <v>6</v>
      </c>
      <c r="EL11" s="2">
        <v>2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X11" s="2">
        <v>170</v>
      </c>
      <c r="EY11" s="2">
        <v>52</v>
      </c>
      <c r="EZ11" s="2">
        <v>1</v>
      </c>
      <c r="FA11" s="2">
        <v>268</v>
      </c>
      <c r="FB11" s="2">
        <v>78</v>
      </c>
      <c r="FC11" s="2">
        <v>1</v>
      </c>
      <c r="FD11" s="2">
        <v>0</v>
      </c>
      <c r="FE11" s="2">
        <v>0</v>
      </c>
      <c r="FF11" s="2">
        <v>0</v>
      </c>
      <c r="FG11" s="2">
        <v>33</v>
      </c>
      <c r="FH11" s="2">
        <v>16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</row>
    <row r="12" spans="1:174" x14ac:dyDescent="0.35">
      <c r="A12" s="2" t="s">
        <v>30</v>
      </c>
      <c r="B12" t="s">
        <v>58</v>
      </c>
      <c r="C12" s="2">
        <v>19400</v>
      </c>
      <c r="D12" s="2">
        <v>11400</v>
      </c>
      <c r="E12" s="2">
        <v>9900</v>
      </c>
      <c r="F12" s="2">
        <v>3500</v>
      </c>
      <c r="G12" s="2">
        <v>0</v>
      </c>
      <c r="H12" s="2">
        <v>14000</v>
      </c>
      <c r="I12" s="2">
        <v>10700</v>
      </c>
      <c r="J12" s="2">
        <v>4600</v>
      </c>
      <c r="K12" s="2">
        <v>300</v>
      </c>
      <c r="L12" s="2">
        <v>0</v>
      </c>
      <c r="M12" s="2">
        <v>35300</v>
      </c>
      <c r="N12" s="2">
        <v>10600</v>
      </c>
      <c r="O12" s="2">
        <v>16.668744409450486</v>
      </c>
      <c r="P12" s="2">
        <v>35400</v>
      </c>
      <c r="Q12" s="2">
        <v>30100</v>
      </c>
      <c r="R12" s="2">
        <v>26200</v>
      </c>
      <c r="S12" s="2">
        <v>7500</v>
      </c>
      <c r="T12" s="2">
        <v>300</v>
      </c>
      <c r="U12" s="2">
        <v>32600</v>
      </c>
      <c r="V12" s="2">
        <v>28000</v>
      </c>
      <c r="W12" s="2">
        <v>9700</v>
      </c>
      <c r="X12" s="2">
        <v>1000</v>
      </c>
      <c r="Y12" s="2">
        <v>0</v>
      </c>
      <c r="Z12" s="2">
        <v>36800</v>
      </c>
      <c r="AA12" s="2">
        <v>10900</v>
      </c>
      <c r="AB12" s="2">
        <v>39.351186592895502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J12" s="2">
        <v>92.101199999999992</v>
      </c>
      <c r="CK12" s="2">
        <v>26.203199999999999</v>
      </c>
      <c r="CL12" s="2">
        <v>4.6295999999999999</v>
      </c>
      <c r="CM12" s="2">
        <v>130.26890000000003</v>
      </c>
      <c r="CN12" s="2">
        <v>38.829200000000007</v>
      </c>
      <c r="CO12" s="2">
        <v>6.0709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1.3406000000000002</v>
      </c>
      <c r="DC12" s="2">
        <v>0.56230000000000002</v>
      </c>
      <c r="DD12" s="2">
        <v>0</v>
      </c>
      <c r="DF12" s="2">
        <v>21000</v>
      </c>
      <c r="DG12" s="2">
        <v>6400</v>
      </c>
      <c r="DH12" s="2">
        <v>0</v>
      </c>
      <c r="DI12" s="2">
        <v>47400</v>
      </c>
      <c r="DJ12" s="2">
        <v>16200</v>
      </c>
      <c r="DK12" s="2">
        <v>200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B12" s="2">
        <v>19</v>
      </c>
      <c r="EC12" s="2">
        <v>5</v>
      </c>
      <c r="ED12" s="2">
        <v>0</v>
      </c>
      <c r="EE12" s="2">
        <v>22</v>
      </c>
      <c r="EF12" s="2">
        <v>6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X12" s="2">
        <v>15</v>
      </c>
      <c r="EY12" s="2">
        <v>2</v>
      </c>
      <c r="EZ12" s="2">
        <v>0</v>
      </c>
      <c r="FA12" s="2">
        <v>41</v>
      </c>
      <c r="FB12" s="2">
        <v>6</v>
      </c>
      <c r="FC12" s="2">
        <v>1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</row>
    <row r="13" spans="1:174" x14ac:dyDescent="0.35">
      <c r="A13" s="2" t="s">
        <v>31</v>
      </c>
      <c r="B13" t="s">
        <v>59</v>
      </c>
      <c r="C13" s="2">
        <v>27000</v>
      </c>
      <c r="D13" s="2">
        <v>15200</v>
      </c>
      <c r="E13" s="2">
        <v>14200</v>
      </c>
      <c r="F13" s="2">
        <v>10200</v>
      </c>
      <c r="G13" s="2">
        <v>1200</v>
      </c>
      <c r="H13" s="2">
        <v>19500</v>
      </c>
      <c r="I13" s="2">
        <v>15000</v>
      </c>
      <c r="J13" s="2">
        <v>11900</v>
      </c>
      <c r="K13" s="2">
        <v>2500</v>
      </c>
      <c r="L13" s="2">
        <v>0</v>
      </c>
      <c r="M13" s="2">
        <v>13076</v>
      </c>
      <c r="N13" s="2">
        <v>3563</v>
      </c>
      <c r="O13" s="2">
        <v>27</v>
      </c>
      <c r="P13" s="2">
        <v>55500</v>
      </c>
      <c r="Q13" s="2">
        <v>42100</v>
      </c>
      <c r="R13" s="2">
        <v>27800</v>
      </c>
      <c r="S13" s="2">
        <v>14200</v>
      </c>
      <c r="T13" s="2">
        <v>1500</v>
      </c>
      <c r="U13" s="2">
        <v>45900</v>
      </c>
      <c r="V13" s="2">
        <v>30000</v>
      </c>
      <c r="W13" s="2">
        <v>16600</v>
      </c>
      <c r="X13" s="2">
        <v>2800</v>
      </c>
      <c r="Y13" s="2">
        <v>0</v>
      </c>
      <c r="Z13" s="2">
        <v>25857</v>
      </c>
      <c r="AA13" s="2">
        <v>6454</v>
      </c>
      <c r="AB13" s="2">
        <v>53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5000</v>
      </c>
      <c r="AP13" s="2">
        <v>5100</v>
      </c>
      <c r="AQ13" s="2">
        <v>3800</v>
      </c>
      <c r="AR13" s="2">
        <v>0</v>
      </c>
      <c r="AS13" s="2">
        <v>0</v>
      </c>
      <c r="AT13" s="2">
        <v>5200</v>
      </c>
      <c r="AU13" s="2">
        <v>5800</v>
      </c>
      <c r="AV13" s="2">
        <v>100</v>
      </c>
      <c r="AW13" s="2">
        <v>0</v>
      </c>
      <c r="AX13" s="2">
        <v>0</v>
      </c>
      <c r="AY13" s="2">
        <v>2733</v>
      </c>
      <c r="AZ13" s="2">
        <v>1130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100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J13" s="2">
        <v>38</v>
      </c>
      <c r="CK13" s="2">
        <v>11</v>
      </c>
      <c r="CL13" s="2">
        <v>3</v>
      </c>
      <c r="CM13" s="2">
        <v>50</v>
      </c>
      <c r="CN13" s="2">
        <v>15</v>
      </c>
      <c r="CO13" s="2">
        <v>3</v>
      </c>
      <c r="CP13" s="2">
        <v>0</v>
      </c>
      <c r="CQ13" s="2">
        <v>0</v>
      </c>
      <c r="CR13" s="2">
        <v>0</v>
      </c>
      <c r="CS13" s="2">
        <v>2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3</v>
      </c>
      <c r="DC13" s="2">
        <v>2</v>
      </c>
      <c r="DD13" s="2">
        <v>0</v>
      </c>
      <c r="DF13" s="2">
        <v>20100</v>
      </c>
      <c r="DG13" s="2">
        <v>11600</v>
      </c>
      <c r="DH13" s="2">
        <v>600</v>
      </c>
      <c r="DI13" s="2">
        <v>46500</v>
      </c>
      <c r="DJ13" s="2">
        <v>20000</v>
      </c>
      <c r="DK13" s="2">
        <v>700</v>
      </c>
      <c r="DL13" s="2">
        <v>0</v>
      </c>
      <c r="DM13" s="2">
        <v>0</v>
      </c>
      <c r="DN13" s="2">
        <v>0</v>
      </c>
      <c r="DO13" s="2">
        <v>6600</v>
      </c>
      <c r="DP13" s="2">
        <v>1800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100</v>
      </c>
      <c r="DY13" s="2">
        <v>0</v>
      </c>
      <c r="DZ13" s="2">
        <v>0</v>
      </c>
      <c r="EB13" s="2">
        <v>13</v>
      </c>
      <c r="EC13" s="2">
        <v>3</v>
      </c>
      <c r="ED13" s="2">
        <v>0</v>
      </c>
      <c r="EE13" s="2">
        <v>34</v>
      </c>
      <c r="EF13" s="2">
        <v>5</v>
      </c>
      <c r="EG13" s="2">
        <v>0</v>
      </c>
      <c r="EH13" s="2">
        <v>0</v>
      </c>
      <c r="EI13" s="2">
        <v>0</v>
      </c>
      <c r="EJ13" s="2">
        <v>0</v>
      </c>
      <c r="EK13" s="2">
        <v>8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X13" s="2">
        <v>70</v>
      </c>
      <c r="EY13" s="2">
        <v>17</v>
      </c>
      <c r="EZ13" s="2">
        <v>0</v>
      </c>
      <c r="FA13" s="2">
        <v>141</v>
      </c>
      <c r="FB13" s="2">
        <v>25</v>
      </c>
      <c r="FC13" s="2">
        <v>0</v>
      </c>
      <c r="FD13" s="2">
        <v>0</v>
      </c>
      <c r="FE13" s="2">
        <v>0</v>
      </c>
      <c r="FF13" s="2">
        <v>0</v>
      </c>
      <c r="FG13" s="2">
        <v>8</v>
      </c>
      <c r="FH13" s="2">
        <v>1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</row>
    <row r="14" spans="1:174" x14ac:dyDescent="0.35">
      <c r="A14" s="2" t="s">
        <v>32</v>
      </c>
      <c r="B14" t="s">
        <v>60</v>
      </c>
      <c r="C14" s="2">
        <v>6200</v>
      </c>
      <c r="D14" s="2">
        <v>14500</v>
      </c>
      <c r="E14" s="2">
        <v>21100</v>
      </c>
      <c r="F14" s="2">
        <v>3100</v>
      </c>
      <c r="G14" s="2">
        <v>0</v>
      </c>
      <c r="H14" s="2">
        <v>12700</v>
      </c>
      <c r="I14" s="2">
        <v>22300</v>
      </c>
      <c r="J14" s="2">
        <v>4700</v>
      </c>
      <c r="K14" s="2">
        <v>100</v>
      </c>
      <c r="L14" s="2">
        <v>0</v>
      </c>
      <c r="M14" s="2">
        <v>9300</v>
      </c>
      <c r="N14" s="2">
        <v>2700</v>
      </c>
      <c r="O14" s="2">
        <v>20</v>
      </c>
      <c r="P14" s="2">
        <v>30200</v>
      </c>
      <c r="Q14" s="2">
        <v>37900</v>
      </c>
      <c r="R14" s="2">
        <v>35700</v>
      </c>
      <c r="S14" s="2">
        <v>4600</v>
      </c>
      <c r="T14" s="2">
        <v>0</v>
      </c>
      <c r="U14" s="2">
        <v>38300</v>
      </c>
      <c r="V14" s="2">
        <v>39000</v>
      </c>
      <c r="W14" s="2">
        <v>7100</v>
      </c>
      <c r="X14" s="2">
        <v>100</v>
      </c>
      <c r="Y14" s="2">
        <v>0</v>
      </c>
      <c r="Z14" s="2">
        <v>20200</v>
      </c>
      <c r="AA14" s="2">
        <v>5400</v>
      </c>
      <c r="AB14" s="2">
        <v>42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J14" s="2">
        <v>41</v>
      </c>
      <c r="CK14" s="2">
        <v>14</v>
      </c>
      <c r="CL14" s="2">
        <v>3</v>
      </c>
      <c r="CM14" s="2">
        <v>66</v>
      </c>
      <c r="CN14" s="2">
        <v>19</v>
      </c>
      <c r="CO14" s="2">
        <v>3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1</v>
      </c>
      <c r="DC14" s="2">
        <v>0</v>
      </c>
      <c r="DD14" s="2">
        <v>0</v>
      </c>
      <c r="DF14" s="2">
        <v>21400</v>
      </c>
      <c r="DG14" s="2">
        <v>11600</v>
      </c>
      <c r="DH14" s="2">
        <v>0</v>
      </c>
      <c r="DI14" s="2">
        <v>51600</v>
      </c>
      <c r="DJ14" s="2">
        <v>19200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B14" s="2">
        <v>4</v>
      </c>
      <c r="EC14" s="2">
        <v>0</v>
      </c>
      <c r="ED14" s="2">
        <v>0</v>
      </c>
      <c r="EE14" s="2">
        <v>19</v>
      </c>
      <c r="EF14" s="2">
        <v>2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X14" s="2">
        <v>21</v>
      </c>
      <c r="EY14" s="2">
        <v>9</v>
      </c>
      <c r="EZ14" s="2">
        <v>0</v>
      </c>
      <c r="FA14" s="2">
        <v>68</v>
      </c>
      <c r="FB14" s="2">
        <v>12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</row>
    <row r="15" spans="1:174" x14ac:dyDescent="0.35">
      <c r="A15" s="2" t="s">
        <v>33</v>
      </c>
      <c r="B15" t="s">
        <v>61</v>
      </c>
      <c r="C15" s="2">
        <v>23300</v>
      </c>
      <c r="D15" s="2">
        <v>15200</v>
      </c>
      <c r="E15" s="2">
        <v>14500</v>
      </c>
      <c r="F15" s="2">
        <v>12000</v>
      </c>
      <c r="G15" s="2">
        <v>4000</v>
      </c>
      <c r="H15" s="2">
        <v>16600</v>
      </c>
      <c r="I15" s="2">
        <v>14900</v>
      </c>
      <c r="J15" s="2">
        <v>13000</v>
      </c>
      <c r="K15" s="2">
        <v>5800</v>
      </c>
      <c r="L15" s="2">
        <v>0</v>
      </c>
      <c r="M15" s="2">
        <v>36072</v>
      </c>
      <c r="N15" s="2">
        <v>10715</v>
      </c>
      <c r="O15" s="2">
        <v>52</v>
      </c>
      <c r="P15" s="2">
        <v>31400</v>
      </c>
      <c r="Q15" s="2">
        <v>30700</v>
      </c>
      <c r="R15" s="2">
        <v>22400</v>
      </c>
      <c r="S15" s="2">
        <v>14000</v>
      </c>
      <c r="T15" s="2">
        <v>4100</v>
      </c>
      <c r="U15" s="2">
        <v>32000</v>
      </c>
      <c r="V15" s="2">
        <v>24000</v>
      </c>
      <c r="W15" s="2">
        <v>15000</v>
      </c>
      <c r="X15" s="2">
        <v>6000</v>
      </c>
      <c r="Y15" s="2">
        <v>0</v>
      </c>
      <c r="Z15" s="2">
        <v>41751</v>
      </c>
      <c r="AA15" s="2">
        <v>12767</v>
      </c>
      <c r="AB15" s="2">
        <v>73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2217</v>
      </c>
      <c r="BZ15" s="2">
        <v>812</v>
      </c>
      <c r="CA15" s="2">
        <v>575</v>
      </c>
      <c r="CB15" s="2">
        <v>4</v>
      </c>
      <c r="CC15" s="2">
        <v>0</v>
      </c>
      <c r="CD15" s="2">
        <v>848</v>
      </c>
      <c r="CE15" s="2">
        <v>310</v>
      </c>
      <c r="CF15" s="2">
        <v>1</v>
      </c>
      <c r="CG15" s="2">
        <v>0</v>
      </c>
      <c r="CH15" s="2">
        <v>0</v>
      </c>
      <c r="CJ15" s="2">
        <v>59</v>
      </c>
      <c r="CK15" s="2">
        <v>21</v>
      </c>
      <c r="CL15" s="2">
        <v>3</v>
      </c>
      <c r="CM15" s="2">
        <v>87</v>
      </c>
      <c r="CN15" s="2">
        <v>29</v>
      </c>
      <c r="CO15" s="2">
        <v>4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F15" s="2">
        <v>14200</v>
      </c>
      <c r="DG15" s="2">
        <v>7600</v>
      </c>
      <c r="DH15" s="2">
        <v>0</v>
      </c>
      <c r="DI15" s="2">
        <v>33000</v>
      </c>
      <c r="DJ15" s="2">
        <v>8600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1720</v>
      </c>
      <c r="DY15" s="2">
        <v>664</v>
      </c>
      <c r="DZ15" s="2">
        <v>276</v>
      </c>
      <c r="EB15" s="2">
        <v>4</v>
      </c>
      <c r="EC15" s="2">
        <v>2</v>
      </c>
      <c r="ED15" s="2">
        <v>0</v>
      </c>
      <c r="EE15" s="2">
        <v>4</v>
      </c>
      <c r="EF15" s="2">
        <v>2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X15" s="2">
        <v>17</v>
      </c>
      <c r="EY15" s="2">
        <v>9</v>
      </c>
      <c r="EZ15" s="2">
        <v>0</v>
      </c>
      <c r="FA15" s="2">
        <v>30</v>
      </c>
      <c r="FB15" s="2">
        <v>9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1</v>
      </c>
      <c r="FQ15" s="2">
        <v>0</v>
      </c>
      <c r="FR15" s="2">
        <v>0</v>
      </c>
    </row>
    <row r="16" spans="1:174" x14ac:dyDescent="0.35">
      <c r="A16" s="2" t="s">
        <v>34</v>
      </c>
      <c r="B16" t="s">
        <v>62</v>
      </c>
      <c r="C16" s="2">
        <v>19800</v>
      </c>
      <c r="D16" s="2">
        <v>14900</v>
      </c>
      <c r="E16" s="2">
        <v>13500</v>
      </c>
      <c r="F16" s="2">
        <v>2600</v>
      </c>
      <c r="G16" s="2">
        <v>0</v>
      </c>
      <c r="H16" s="2">
        <v>16800</v>
      </c>
      <c r="I16" s="2">
        <v>14800</v>
      </c>
      <c r="J16" s="2">
        <v>3900</v>
      </c>
      <c r="K16" s="2">
        <v>100</v>
      </c>
      <c r="L16" s="2">
        <v>0</v>
      </c>
      <c r="M16" s="2">
        <v>9000</v>
      </c>
      <c r="N16" s="2">
        <v>2300</v>
      </c>
      <c r="O16" s="2">
        <v>18</v>
      </c>
      <c r="P16" s="2">
        <v>41900</v>
      </c>
      <c r="Q16" s="2">
        <v>28000</v>
      </c>
      <c r="R16" s="2">
        <v>28200</v>
      </c>
      <c r="S16" s="2">
        <v>6700</v>
      </c>
      <c r="T16" s="2">
        <v>0</v>
      </c>
      <c r="U16" s="2">
        <v>29800</v>
      </c>
      <c r="V16" s="2">
        <v>30100</v>
      </c>
      <c r="W16" s="2">
        <v>8500</v>
      </c>
      <c r="X16" s="2">
        <v>100</v>
      </c>
      <c r="Y16" s="2">
        <v>0</v>
      </c>
      <c r="Z16" s="2">
        <v>18800</v>
      </c>
      <c r="AA16" s="2">
        <v>4500</v>
      </c>
      <c r="AB16" s="2">
        <v>38</v>
      </c>
      <c r="AC16" s="2">
        <v>3200</v>
      </c>
      <c r="AD16" s="2">
        <v>1900</v>
      </c>
      <c r="AE16" s="2">
        <v>500</v>
      </c>
      <c r="AF16" s="2">
        <v>0</v>
      </c>
      <c r="AG16" s="2">
        <v>0</v>
      </c>
      <c r="AH16" s="2">
        <v>2800</v>
      </c>
      <c r="AI16" s="2">
        <v>1400</v>
      </c>
      <c r="AJ16" s="2">
        <v>200</v>
      </c>
      <c r="AK16" s="2">
        <v>0</v>
      </c>
      <c r="AL16" s="2">
        <v>0</v>
      </c>
      <c r="AM16" s="2">
        <v>1000</v>
      </c>
      <c r="AN16" s="2">
        <v>400</v>
      </c>
      <c r="AO16" s="2">
        <v>7700</v>
      </c>
      <c r="AP16" s="2">
        <v>9200</v>
      </c>
      <c r="AQ16" s="2">
        <v>6700</v>
      </c>
      <c r="AR16" s="2">
        <v>500</v>
      </c>
      <c r="AS16" s="2">
        <v>0</v>
      </c>
      <c r="AT16" s="2">
        <v>9600</v>
      </c>
      <c r="AU16" s="2">
        <v>8000</v>
      </c>
      <c r="AV16" s="2">
        <v>2600</v>
      </c>
      <c r="AW16" s="2">
        <v>0</v>
      </c>
      <c r="AX16" s="2">
        <v>0</v>
      </c>
      <c r="AY16" s="2">
        <v>5000</v>
      </c>
      <c r="AZ16" s="2">
        <v>2300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1000</v>
      </c>
      <c r="BZ16" s="2">
        <v>100</v>
      </c>
      <c r="CA16" s="2">
        <v>0</v>
      </c>
      <c r="CB16" s="2">
        <v>0</v>
      </c>
      <c r="CC16" s="2">
        <v>0</v>
      </c>
      <c r="CD16" s="2">
        <v>500</v>
      </c>
      <c r="CE16" s="2">
        <v>100</v>
      </c>
      <c r="CF16" s="2">
        <v>0</v>
      </c>
      <c r="CG16" s="2">
        <v>0</v>
      </c>
      <c r="CH16" s="2">
        <v>0</v>
      </c>
      <c r="CJ16" s="2">
        <v>46</v>
      </c>
      <c r="CK16" s="2">
        <v>12</v>
      </c>
      <c r="CL16" s="2">
        <v>2</v>
      </c>
      <c r="CM16" s="2">
        <v>56</v>
      </c>
      <c r="CN16" s="2">
        <v>14</v>
      </c>
      <c r="CO16" s="2">
        <v>1</v>
      </c>
      <c r="CP16" s="2">
        <v>7</v>
      </c>
      <c r="CQ16" s="2">
        <v>2</v>
      </c>
      <c r="CR16" s="2">
        <v>0</v>
      </c>
      <c r="CS16" s="2">
        <v>10</v>
      </c>
      <c r="CT16" s="2">
        <v>2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8</v>
      </c>
      <c r="DC16" s="2">
        <v>6</v>
      </c>
      <c r="DD16" s="2">
        <v>0</v>
      </c>
      <c r="DF16" s="2">
        <v>24200</v>
      </c>
      <c r="DG16" s="2">
        <v>7700</v>
      </c>
      <c r="DH16" s="2">
        <v>0</v>
      </c>
      <c r="DI16" s="2">
        <v>50000</v>
      </c>
      <c r="DJ16" s="2">
        <v>16600</v>
      </c>
      <c r="DK16" s="2">
        <v>0</v>
      </c>
      <c r="DL16" s="2">
        <v>2700</v>
      </c>
      <c r="DM16" s="2">
        <v>200</v>
      </c>
      <c r="DN16" s="2">
        <v>0</v>
      </c>
      <c r="DO16" s="2">
        <v>13000</v>
      </c>
      <c r="DP16" s="2">
        <v>3400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500</v>
      </c>
      <c r="DY16" s="2">
        <v>0</v>
      </c>
      <c r="DZ16" s="2">
        <v>0</v>
      </c>
      <c r="EB16" s="2">
        <v>0</v>
      </c>
      <c r="EC16" s="2">
        <v>0</v>
      </c>
      <c r="ED16" s="2">
        <v>0</v>
      </c>
      <c r="EE16" s="2">
        <v>8</v>
      </c>
      <c r="EF16" s="2">
        <v>4</v>
      </c>
      <c r="EG16" s="2">
        <v>0</v>
      </c>
      <c r="EH16" s="2">
        <v>4</v>
      </c>
      <c r="EI16" s="2">
        <v>0</v>
      </c>
      <c r="EJ16" s="2">
        <v>0</v>
      </c>
      <c r="EK16" s="2">
        <v>10</v>
      </c>
      <c r="EL16" s="2">
        <v>1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X16" s="2">
        <v>205</v>
      </c>
      <c r="EY16" s="2">
        <v>8</v>
      </c>
      <c r="EZ16" s="2">
        <v>0</v>
      </c>
      <c r="FA16" s="2">
        <v>297</v>
      </c>
      <c r="FB16" s="2">
        <v>26</v>
      </c>
      <c r="FC16" s="2">
        <v>0</v>
      </c>
      <c r="FD16" s="2">
        <v>37</v>
      </c>
      <c r="FE16" s="2">
        <v>6</v>
      </c>
      <c r="FF16" s="2">
        <v>0</v>
      </c>
      <c r="FG16" s="2">
        <v>68</v>
      </c>
      <c r="FH16" s="2">
        <v>11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</row>
    <row r="17" spans="1:174" x14ac:dyDescent="0.35">
      <c r="A17" s="2" t="s">
        <v>35</v>
      </c>
      <c r="B17" t="s">
        <v>63</v>
      </c>
      <c r="C17" s="2">
        <v>33600</v>
      </c>
      <c r="D17" s="2">
        <v>19600</v>
      </c>
      <c r="E17" s="2">
        <v>13300</v>
      </c>
      <c r="F17" s="2">
        <v>5000</v>
      </c>
      <c r="G17" s="2">
        <v>600</v>
      </c>
      <c r="H17" s="2">
        <v>25400</v>
      </c>
      <c r="I17" s="2">
        <v>15000</v>
      </c>
      <c r="J17" s="2">
        <v>6400</v>
      </c>
      <c r="K17" s="2">
        <v>1000</v>
      </c>
      <c r="L17" s="2">
        <v>0</v>
      </c>
      <c r="M17" s="2">
        <v>12500</v>
      </c>
      <c r="N17" s="2">
        <v>3100</v>
      </c>
      <c r="O17" s="2">
        <v>25</v>
      </c>
      <c r="P17" s="2">
        <v>41600</v>
      </c>
      <c r="Q17" s="2">
        <v>47200</v>
      </c>
      <c r="R17" s="2">
        <v>33900</v>
      </c>
      <c r="S17" s="2">
        <v>9900</v>
      </c>
      <c r="T17" s="2">
        <v>1000</v>
      </c>
      <c r="U17" s="2">
        <v>51500</v>
      </c>
      <c r="V17" s="2">
        <v>36000</v>
      </c>
      <c r="W17" s="2">
        <v>12600</v>
      </c>
      <c r="X17" s="2">
        <v>1500</v>
      </c>
      <c r="Y17" s="2">
        <v>0</v>
      </c>
      <c r="Z17" s="2">
        <v>24900</v>
      </c>
      <c r="AA17" s="2">
        <v>6600</v>
      </c>
      <c r="AB17" s="2">
        <v>52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900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124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500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J17" s="2">
        <v>28</v>
      </c>
      <c r="CK17" s="2">
        <v>14</v>
      </c>
      <c r="CL17" s="2">
        <v>4</v>
      </c>
      <c r="CM17" s="2">
        <v>31</v>
      </c>
      <c r="CN17" s="2">
        <v>18</v>
      </c>
      <c r="CO17" s="2">
        <v>4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2</v>
      </c>
      <c r="DC17" s="2">
        <v>2</v>
      </c>
      <c r="DD17" s="2">
        <v>0</v>
      </c>
      <c r="DF17" s="2">
        <v>25300</v>
      </c>
      <c r="DG17" s="2">
        <v>8700</v>
      </c>
      <c r="DH17" s="2">
        <v>300</v>
      </c>
      <c r="DI17" s="2">
        <v>46300</v>
      </c>
      <c r="DJ17" s="2">
        <v>21700</v>
      </c>
      <c r="DK17" s="2">
        <v>500</v>
      </c>
      <c r="DL17" s="2">
        <v>0</v>
      </c>
      <c r="DM17" s="2">
        <v>0</v>
      </c>
      <c r="DN17" s="2">
        <v>0</v>
      </c>
      <c r="DO17" s="2">
        <v>400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300</v>
      </c>
      <c r="DY17" s="2">
        <v>0</v>
      </c>
      <c r="DZ17" s="2">
        <v>0</v>
      </c>
      <c r="EB17" s="2">
        <v>8</v>
      </c>
      <c r="EC17" s="2">
        <v>0</v>
      </c>
      <c r="ED17" s="2">
        <v>0</v>
      </c>
      <c r="EE17" s="2">
        <v>19</v>
      </c>
      <c r="EF17" s="2">
        <v>4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X17" s="2">
        <v>38</v>
      </c>
      <c r="EY17" s="2">
        <v>3</v>
      </c>
      <c r="EZ17" s="2">
        <v>0</v>
      </c>
      <c r="FA17" s="2">
        <v>69</v>
      </c>
      <c r="FB17" s="2">
        <v>7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</row>
    <row r="18" spans="1:174" x14ac:dyDescent="0.35">
      <c r="A18" s="2" t="s">
        <v>43</v>
      </c>
      <c r="B18" t="s">
        <v>64</v>
      </c>
      <c r="C18" s="2">
        <v>18903</v>
      </c>
      <c r="D18" s="2">
        <v>8964</v>
      </c>
      <c r="E18" s="2">
        <v>5427</v>
      </c>
      <c r="F18" s="2">
        <v>4767</v>
      </c>
      <c r="G18" s="2">
        <v>1071</v>
      </c>
      <c r="H18" s="2">
        <v>12640</v>
      </c>
      <c r="I18" s="2">
        <v>6763</v>
      </c>
      <c r="J18" s="2">
        <v>5208</v>
      </c>
      <c r="K18" s="2">
        <v>1631</v>
      </c>
      <c r="L18" s="2">
        <v>32</v>
      </c>
      <c r="M18" s="2">
        <v>7138</v>
      </c>
      <c r="N18" s="2">
        <v>1853</v>
      </c>
      <c r="O18" s="2">
        <v>13</v>
      </c>
      <c r="P18" s="2">
        <v>36438</v>
      </c>
      <c r="Q18" s="2">
        <v>21750</v>
      </c>
      <c r="R18" s="2">
        <v>11277</v>
      </c>
      <c r="S18" s="2">
        <v>6831</v>
      </c>
      <c r="T18" s="2">
        <v>1458</v>
      </c>
      <c r="U18" s="2">
        <v>26791</v>
      </c>
      <c r="V18" s="2">
        <v>13950</v>
      </c>
      <c r="W18" s="2">
        <v>7626</v>
      </c>
      <c r="X18" s="2">
        <v>2168</v>
      </c>
      <c r="Y18" s="2">
        <v>49</v>
      </c>
      <c r="Z18" s="2">
        <v>13717</v>
      </c>
      <c r="AA18" s="2">
        <v>3384</v>
      </c>
      <c r="AB18" s="2">
        <v>26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J18" s="2">
        <v>62.222700000000003</v>
      </c>
      <c r="CK18" s="2">
        <v>21.153199999999998</v>
      </c>
      <c r="CL18" s="2">
        <v>4.5400999999999998</v>
      </c>
      <c r="CM18" s="2">
        <v>62.222700000000003</v>
      </c>
      <c r="CN18" s="2">
        <v>21.153199999999998</v>
      </c>
      <c r="CO18" s="2">
        <v>4.5400999999999998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F18" s="2">
        <v>18633</v>
      </c>
      <c r="DG18" s="2">
        <v>5364</v>
      </c>
      <c r="DH18" s="2">
        <v>510</v>
      </c>
      <c r="DI18" s="2">
        <v>37024</v>
      </c>
      <c r="DJ18" s="2">
        <v>9316</v>
      </c>
      <c r="DK18" s="2">
        <v>694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B18" s="2">
        <v>29</v>
      </c>
      <c r="EC18" s="2">
        <v>11</v>
      </c>
      <c r="ED18" s="2">
        <v>0</v>
      </c>
      <c r="EE18" s="2">
        <v>42</v>
      </c>
      <c r="EF18" s="2">
        <v>11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X18" s="2">
        <v>159</v>
      </c>
      <c r="EY18" s="2">
        <v>24</v>
      </c>
      <c r="EZ18" s="2">
        <v>2</v>
      </c>
      <c r="FA18" s="2">
        <v>253</v>
      </c>
      <c r="FB18" s="2">
        <v>27</v>
      </c>
      <c r="FC18" s="2">
        <v>2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</row>
    <row r="19" spans="1:174" x14ac:dyDescent="0.35">
      <c r="A19" s="2" t="s">
        <v>44</v>
      </c>
      <c r="B19" t="s">
        <v>73</v>
      </c>
      <c r="C19" s="2">
        <v>21600</v>
      </c>
      <c r="D19" s="2">
        <v>12300</v>
      </c>
      <c r="E19" s="2">
        <v>12500</v>
      </c>
      <c r="F19" s="2">
        <v>8200</v>
      </c>
      <c r="G19" s="2">
        <v>200</v>
      </c>
      <c r="H19" s="2">
        <v>15700</v>
      </c>
      <c r="I19" s="2">
        <v>13900</v>
      </c>
      <c r="J19" s="2">
        <v>8000</v>
      </c>
      <c r="K19" s="2">
        <v>500</v>
      </c>
      <c r="L19" s="2">
        <v>0</v>
      </c>
      <c r="M19" s="2">
        <v>10500</v>
      </c>
      <c r="N19" s="2">
        <v>2600</v>
      </c>
      <c r="O19" s="2">
        <v>320</v>
      </c>
      <c r="P19" s="2">
        <v>32900</v>
      </c>
      <c r="Q19" s="2">
        <v>27600</v>
      </c>
      <c r="R19" s="2">
        <v>24200</v>
      </c>
      <c r="S19" s="2">
        <v>9500</v>
      </c>
      <c r="T19" s="2">
        <v>300</v>
      </c>
      <c r="U19" s="2">
        <v>30300</v>
      </c>
      <c r="V19" s="2">
        <v>23600</v>
      </c>
      <c r="W19" s="2">
        <v>9400</v>
      </c>
      <c r="X19" s="2">
        <v>500</v>
      </c>
      <c r="Y19" s="2">
        <v>0</v>
      </c>
      <c r="Z19" s="2">
        <v>17700</v>
      </c>
      <c r="AA19" s="2">
        <v>4200</v>
      </c>
      <c r="AB19" s="2">
        <v>600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5000</v>
      </c>
      <c r="AP19" s="2">
        <v>7500</v>
      </c>
      <c r="AQ19" s="2">
        <v>500</v>
      </c>
      <c r="AR19" s="2">
        <v>0</v>
      </c>
      <c r="AS19" s="2">
        <v>0</v>
      </c>
      <c r="AT19" s="2">
        <v>7400</v>
      </c>
      <c r="AU19" s="2">
        <v>1900</v>
      </c>
      <c r="AV19" s="2">
        <v>0</v>
      </c>
      <c r="AW19" s="2">
        <v>0</v>
      </c>
      <c r="AX19" s="2">
        <v>0</v>
      </c>
      <c r="AY19" s="2">
        <v>2300</v>
      </c>
      <c r="AZ19" s="2">
        <v>800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J19" s="2">
        <v>42</v>
      </c>
      <c r="CK19" s="2">
        <v>15</v>
      </c>
      <c r="CL19" s="2">
        <v>3</v>
      </c>
      <c r="CM19" s="2">
        <v>51</v>
      </c>
      <c r="CN19" s="2">
        <v>17</v>
      </c>
      <c r="CO19" s="2">
        <v>3</v>
      </c>
      <c r="CP19" s="2">
        <v>0</v>
      </c>
      <c r="CQ19" s="2">
        <v>0</v>
      </c>
      <c r="CR19" s="2">
        <v>0</v>
      </c>
      <c r="CS19" s="2">
        <v>1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1</v>
      </c>
      <c r="CZ19" s="2">
        <v>0</v>
      </c>
      <c r="DA19" s="2">
        <v>0</v>
      </c>
      <c r="DB19" s="2">
        <v>1</v>
      </c>
      <c r="DC19" s="2">
        <v>0</v>
      </c>
      <c r="DD19" s="2">
        <v>0</v>
      </c>
      <c r="DF19" s="2">
        <v>26100</v>
      </c>
      <c r="DG19" s="2">
        <v>10000</v>
      </c>
      <c r="DH19" s="2">
        <v>100</v>
      </c>
      <c r="DI19" s="2">
        <v>45000</v>
      </c>
      <c r="DJ19" s="2">
        <v>16200</v>
      </c>
      <c r="DK19" s="2">
        <v>100</v>
      </c>
      <c r="DL19" s="2">
        <v>0</v>
      </c>
      <c r="DM19" s="2">
        <v>0</v>
      </c>
      <c r="DN19" s="2">
        <v>0</v>
      </c>
      <c r="DO19" s="2">
        <v>6200</v>
      </c>
      <c r="DP19" s="2">
        <v>200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B19" s="2">
        <v>19</v>
      </c>
      <c r="EC19" s="2">
        <v>6</v>
      </c>
      <c r="ED19" s="2">
        <v>0</v>
      </c>
      <c r="EE19" s="2">
        <v>21</v>
      </c>
      <c r="EF19" s="2">
        <v>6</v>
      </c>
      <c r="EG19" s="2">
        <v>0</v>
      </c>
      <c r="EH19" s="2">
        <v>0</v>
      </c>
      <c r="EI19" s="2">
        <v>0</v>
      </c>
      <c r="EJ19" s="2">
        <v>0</v>
      </c>
      <c r="EK19" s="2">
        <v>4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X19" s="2">
        <v>63</v>
      </c>
      <c r="EY19" s="2">
        <v>10</v>
      </c>
      <c r="EZ19" s="2">
        <v>0</v>
      </c>
      <c r="FA19" s="2">
        <v>102</v>
      </c>
      <c r="FB19" s="2">
        <v>13</v>
      </c>
      <c r="FC19" s="2">
        <v>0</v>
      </c>
      <c r="FD19" s="2">
        <v>0</v>
      </c>
      <c r="FE19" s="2">
        <v>0</v>
      </c>
      <c r="FF19" s="2">
        <v>0</v>
      </c>
      <c r="FG19" s="2">
        <v>10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</row>
    <row r="20" spans="1:174" x14ac:dyDescent="0.35">
      <c r="A20" s="2" t="s">
        <v>45</v>
      </c>
      <c r="B20" t="s">
        <v>65</v>
      </c>
      <c r="C20" s="2">
        <v>46400</v>
      </c>
      <c r="D20" s="2">
        <v>28000</v>
      </c>
      <c r="E20" s="2">
        <v>15800</v>
      </c>
      <c r="F20" s="2">
        <v>3700</v>
      </c>
      <c r="G20" s="2">
        <v>200</v>
      </c>
      <c r="H20" s="2">
        <v>39300</v>
      </c>
      <c r="I20" s="2">
        <v>23100</v>
      </c>
      <c r="J20" s="2">
        <v>8800</v>
      </c>
      <c r="K20" s="2">
        <v>4500</v>
      </c>
      <c r="L20" s="2">
        <v>100</v>
      </c>
      <c r="M20" s="2">
        <v>15578</v>
      </c>
      <c r="N20" s="2">
        <v>4549</v>
      </c>
      <c r="O20" s="2">
        <v>30</v>
      </c>
      <c r="P20" s="2">
        <v>51800</v>
      </c>
      <c r="Q20" s="2">
        <v>39400</v>
      </c>
      <c r="R20" s="2">
        <v>22800</v>
      </c>
      <c r="S20" s="2">
        <v>4100</v>
      </c>
      <c r="T20" s="2">
        <v>200</v>
      </c>
      <c r="U20" s="2">
        <v>48300</v>
      </c>
      <c r="V20" s="2">
        <v>29900</v>
      </c>
      <c r="W20" s="2">
        <v>9600</v>
      </c>
      <c r="X20" s="2">
        <v>500</v>
      </c>
      <c r="Y20" s="2">
        <v>100</v>
      </c>
      <c r="Z20" s="2">
        <v>19998</v>
      </c>
      <c r="AA20" s="2">
        <v>5557</v>
      </c>
      <c r="AB20" s="2">
        <v>39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300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J20" s="2">
        <v>33</v>
      </c>
      <c r="CK20" s="2">
        <v>15</v>
      </c>
      <c r="CL20" s="2">
        <v>3</v>
      </c>
      <c r="CM20" s="2">
        <v>35</v>
      </c>
      <c r="CN20" s="2">
        <v>17</v>
      </c>
      <c r="CO20" s="2">
        <v>4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2</v>
      </c>
      <c r="DC20" s="2">
        <v>3</v>
      </c>
      <c r="DD20" s="2">
        <v>0</v>
      </c>
      <c r="DF20" s="2">
        <v>35400</v>
      </c>
      <c r="DG20" s="2">
        <v>9300</v>
      </c>
      <c r="DH20" s="2">
        <v>100</v>
      </c>
      <c r="DI20" s="2">
        <v>43400</v>
      </c>
      <c r="DJ20" s="2">
        <v>12800</v>
      </c>
      <c r="DK20" s="2">
        <v>100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100</v>
      </c>
      <c r="DY20" s="2">
        <v>0</v>
      </c>
      <c r="DZ20" s="2">
        <v>0</v>
      </c>
      <c r="EB20" s="2">
        <v>28</v>
      </c>
      <c r="EC20" s="2">
        <v>0</v>
      </c>
      <c r="ED20" s="2">
        <v>0</v>
      </c>
      <c r="EE20" s="2">
        <v>44</v>
      </c>
      <c r="EF20" s="2">
        <v>1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X20" s="2">
        <v>157</v>
      </c>
      <c r="EY20" s="2">
        <v>32</v>
      </c>
      <c r="EZ20" s="2">
        <v>0</v>
      </c>
      <c r="FA20" s="2">
        <v>187</v>
      </c>
      <c r="FB20" s="2">
        <v>36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</row>
    <row r="21" spans="1:174" x14ac:dyDescent="0.35">
      <c r="A21" s="2" t="s">
        <v>46</v>
      </c>
      <c r="B21" t="s">
        <v>66</v>
      </c>
      <c r="C21" s="2">
        <v>5900</v>
      </c>
      <c r="D21" s="2">
        <v>5200</v>
      </c>
      <c r="E21" s="2">
        <v>8000</v>
      </c>
      <c r="F21" s="2">
        <v>4200</v>
      </c>
      <c r="G21" s="2">
        <v>100</v>
      </c>
      <c r="H21" s="2">
        <v>5000</v>
      </c>
      <c r="I21" s="2">
        <v>7800</v>
      </c>
      <c r="J21" s="2">
        <v>5500</v>
      </c>
      <c r="K21" s="2">
        <v>300</v>
      </c>
      <c r="L21" s="2">
        <v>0</v>
      </c>
      <c r="M21" s="2">
        <v>4872</v>
      </c>
      <c r="N21" s="2">
        <v>1402</v>
      </c>
      <c r="O21" s="2">
        <v>11</v>
      </c>
      <c r="P21" s="2">
        <v>11600</v>
      </c>
      <c r="Q21" s="2">
        <v>13900</v>
      </c>
      <c r="R21" s="2">
        <v>15000</v>
      </c>
      <c r="S21" s="2">
        <v>5800</v>
      </c>
      <c r="T21" s="2">
        <v>300</v>
      </c>
      <c r="U21" s="2">
        <v>13300</v>
      </c>
      <c r="V21" s="2">
        <v>15700</v>
      </c>
      <c r="W21" s="2">
        <v>7700</v>
      </c>
      <c r="X21" s="2">
        <v>600</v>
      </c>
      <c r="Y21" s="2">
        <v>0</v>
      </c>
      <c r="Z21" s="2">
        <v>9315</v>
      </c>
      <c r="AA21" s="2">
        <v>2616</v>
      </c>
      <c r="AB21" s="2">
        <v>20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J21" s="2">
        <v>15</v>
      </c>
      <c r="CK21" s="2">
        <v>4</v>
      </c>
      <c r="CL21" s="2">
        <v>1</v>
      </c>
      <c r="CM21" s="2">
        <v>21</v>
      </c>
      <c r="CN21" s="2">
        <v>6</v>
      </c>
      <c r="CO21" s="2">
        <v>1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F21" s="2">
        <v>11100</v>
      </c>
      <c r="DG21" s="2">
        <v>5800</v>
      </c>
      <c r="DH21" s="2">
        <v>0</v>
      </c>
      <c r="DI21" s="2">
        <v>22100</v>
      </c>
      <c r="DJ21" s="2">
        <v>10000</v>
      </c>
      <c r="DK21" s="2">
        <v>100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B21" s="2">
        <v>1</v>
      </c>
      <c r="EC21" s="2">
        <v>1</v>
      </c>
      <c r="ED21" s="2">
        <v>0</v>
      </c>
      <c r="EE21" s="2">
        <v>1</v>
      </c>
      <c r="EF21" s="2">
        <v>1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X21" s="2">
        <v>1</v>
      </c>
      <c r="EY21" s="2">
        <v>0</v>
      </c>
      <c r="EZ21" s="2">
        <v>0</v>
      </c>
      <c r="FA21" s="2">
        <v>4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</row>
    <row r="22" spans="1:174" x14ac:dyDescent="0.35">
      <c r="A22" s="2" t="s">
        <v>47</v>
      </c>
      <c r="B22" t="s">
        <v>67</v>
      </c>
      <c r="C22" s="2">
        <v>33500</v>
      </c>
      <c r="D22" s="2">
        <v>20600</v>
      </c>
      <c r="E22" s="2">
        <v>8500</v>
      </c>
      <c r="F22" s="2">
        <v>6700</v>
      </c>
      <c r="G22" s="2">
        <v>3000</v>
      </c>
      <c r="H22" s="2">
        <v>28800</v>
      </c>
      <c r="I22" s="2">
        <v>13500</v>
      </c>
      <c r="J22" s="2">
        <v>7500</v>
      </c>
      <c r="K22" s="2">
        <v>3700</v>
      </c>
      <c r="L22" s="2">
        <v>100</v>
      </c>
      <c r="M22" s="2">
        <v>13000</v>
      </c>
      <c r="N22" s="2">
        <v>3700</v>
      </c>
      <c r="O22" s="2">
        <v>26</v>
      </c>
      <c r="P22" s="2">
        <v>33700</v>
      </c>
      <c r="Q22" s="2">
        <v>27100</v>
      </c>
      <c r="R22" s="2">
        <v>20400</v>
      </c>
      <c r="S22" s="2">
        <v>18600</v>
      </c>
      <c r="T22" s="2">
        <v>5500</v>
      </c>
      <c r="U22" s="2">
        <v>31600</v>
      </c>
      <c r="V22" s="2">
        <v>24600</v>
      </c>
      <c r="W22" s="2">
        <v>20400</v>
      </c>
      <c r="X22" s="2">
        <v>6900</v>
      </c>
      <c r="Y22" s="2">
        <v>100</v>
      </c>
      <c r="Z22" s="2">
        <v>21200</v>
      </c>
      <c r="AA22" s="2">
        <v>6300</v>
      </c>
      <c r="AB22" s="2">
        <v>46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1500</v>
      </c>
      <c r="AP22" s="2">
        <v>900</v>
      </c>
      <c r="AQ22" s="2">
        <v>1500</v>
      </c>
      <c r="AR22" s="2">
        <v>400</v>
      </c>
      <c r="AS22" s="2">
        <v>0</v>
      </c>
      <c r="AT22" s="2">
        <v>1100</v>
      </c>
      <c r="AU22" s="2">
        <v>1400</v>
      </c>
      <c r="AV22" s="2">
        <v>900</v>
      </c>
      <c r="AW22" s="2">
        <v>200</v>
      </c>
      <c r="AX22" s="2">
        <v>0</v>
      </c>
      <c r="AY22" s="2">
        <v>1000</v>
      </c>
      <c r="AZ22" s="2">
        <v>500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1900</v>
      </c>
      <c r="BZ22" s="2">
        <v>600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J22" s="2">
        <v>26</v>
      </c>
      <c r="CK22" s="2">
        <v>7</v>
      </c>
      <c r="CL22" s="2">
        <v>2</v>
      </c>
      <c r="CM22" s="2">
        <v>32</v>
      </c>
      <c r="CN22" s="2">
        <v>9.07</v>
      </c>
      <c r="CO22" s="2">
        <v>1.84</v>
      </c>
      <c r="CP22" s="2">
        <v>0</v>
      </c>
      <c r="CQ22" s="2">
        <v>0</v>
      </c>
      <c r="CR22" s="2">
        <v>0</v>
      </c>
      <c r="CS22" s="2">
        <v>2.15</v>
      </c>
      <c r="CT22" s="2">
        <v>0.59000000000000008</v>
      </c>
      <c r="CU22" s="2">
        <v>7.0000000000000007E-2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3.09</v>
      </c>
      <c r="DC22" s="2">
        <v>1.24</v>
      </c>
      <c r="DD22" s="2">
        <v>0</v>
      </c>
      <c r="DF22" s="2">
        <v>24300</v>
      </c>
      <c r="DG22" s="2">
        <v>9400</v>
      </c>
      <c r="DH22" s="2">
        <v>1500</v>
      </c>
      <c r="DI22" s="2">
        <v>55600</v>
      </c>
      <c r="DJ22" s="2">
        <v>23200</v>
      </c>
      <c r="DK22" s="2">
        <v>2800</v>
      </c>
      <c r="DL22" s="2">
        <v>0</v>
      </c>
      <c r="DM22" s="2">
        <v>0</v>
      </c>
      <c r="DN22" s="2">
        <v>0</v>
      </c>
      <c r="DO22" s="2">
        <v>2300</v>
      </c>
      <c r="DP22" s="2">
        <v>1000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1300</v>
      </c>
      <c r="DY22" s="2">
        <v>0</v>
      </c>
      <c r="DZ22" s="2">
        <v>0</v>
      </c>
      <c r="EB22" s="2">
        <v>10</v>
      </c>
      <c r="EC22" s="2">
        <v>0</v>
      </c>
      <c r="ED22" s="2">
        <v>0</v>
      </c>
      <c r="EE22" s="2">
        <v>15</v>
      </c>
      <c r="EF22" s="2">
        <v>1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X22" s="2">
        <v>88</v>
      </c>
      <c r="EY22" s="2">
        <v>17</v>
      </c>
      <c r="EZ22" s="2">
        <v>0</v>
      </c>
      <c r="FA22" s="2">
        <v>128</v>
      </c>
      <c r="FB22" s="2">
        <v>38</v>
      </c>
      <c r="FC22" s="2">
        <v>2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1</v>
      </c>
      <c r="FQ22" s="2">
        <v>0</v>
      </c>
      <c r="FR22" s="2">
        <v>0</v>
      </c>
    </row>
    <row r="23" spans="1:174" x14ac:dyDescent="0.35">
      <c r="A23" s="2" t="s">
        <v>48</v>
      </c>
      <c r="B23" t="s">
        <v>74</v>
      </c>
      <c r="C23" s="2">
        <v>31900</v>
      </c>
      <c r="D23" s="2">
        <v>19100</v>
      </c>
      <c r="E23" s="2">
        <v>13700</v>
      </c>
      <c r="F23" s="2">
        <v>8000</v>
      </c>
      <c r="G23" s="2">
        <v>700</v>
      </c>
      <c r="H23" s="2">
        <v>23400</v>
      </c>
      <c r="I23" s="2">
        <v>17100</v>
      </c>
      <c r="J23" s="2">
        <v>9900</v>
      </c>
      <c r="K23" s="2">
        <v>1100</v>
      </c>
      <c r="L23" s="2">
        <v>0</v>
      </c>
      <c r="M23" s="2">
        <v>13300</v>
      </c>
      <c r="N23" s="2">
        <v>3500</v>
      </c>
      <c r="O23" s="2">
        <v>287</v>
      </c>
      <c r="P23" s="2">
        <v>39200</v>
      </c>
      <c r="Q23" s="2">
        <v>31400</v>
      </c>
      <c r="R23" s="2">
        <v>18400</v>
      </c>
      <c r="S23" s="2">
        <v>8700</v>
      </c>
      <c r="T23" s="2">
        <v>800</v>
      </c>
      <c r="U23" s="2">
        <v>35100</v>
      </c>
      <c r="V23" s="2">
        <v>22300</v>
      </c>
      <c r="W23" s="2">
        <v>10800</v>
      </c>
      <c r="X23" s="2">
        <v>1200</v>
      </c>
      <c r="Y23" s="2">
        <v>0</v>
      </c>
      <c r="Z23" s="2">
        <v>17700</v>
      </c>
      <c r="AA23" s="2">
        <v>4600</v>
      </c>
      <c r="AB23" s="2">
        <v>347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1000</v>
      </c>
      <c r="AP23" s="2">
        <v>700</v>
      </c>
      <c r="AQ23" s="2">
        <v>1000</v>
      </c>
      <c r="AR23" s="2">
        <v>600</v>
      </c>
      <c r="AS23" s="2">
        <v>100</v>
      </c>
      <c r="AT23" s="2">
        <v>700</v>
      </c>
      <c r="AU23" s="2">
        <v>1200</v>
      </c>
      <c r="AV23" s="2">
        <v>800</v>
      </c>
      <c r="AW23" s="2">
        <v>100</v>
      </c>
      <c r="AX23" s="2">
        <v>0</v>
      </c>
      <c r="AY23" s="2">
        <v>800</v>
      </c>
      <c r="AZ23" s="2">
        <v>400</v>
      </c>
      <c r="BA23" s="2">
        <v>8900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2700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1000</v>
      </c>
      <c r="BZ23" s="2">
        <v>500</v>
      </c>
      <c r="CA23" s="2">
        <v>100</v>
      </c>
      <c r="CB23" s="2">
        <v>200</v>
      </c>
      <c r="CC23" s="2">
        <v>0</v>
      </c>
      <c r="CD23" s="2">
        <v>500</v>
      </c>
      <c r="CE23" s="2">
        <v>100</v>
      </c>
      <c r="CF23" s="2">
        <v>200</v>
      </c>
      <c r="CG23" s="2">
        <v>0</v>
      </c>
      <c r="CH23" s="2">
        <v>0</v>
      </c>
      <c r="CJ23" s="2">
        <v>63</v>
      </c>
      <c r="CK23" s="2">
        <v>22</v>
      </c>
      <c r="CL23" s="2">
        <v>4</v>
      </c>
      <c r="CM23" s="2">
        <v>70</v>
      </c>
      <c r="CN23" s="2">
        <v>25</v>
      </c>
      <c r="CO23" s="2">
        <v>4</v>
      </c>
      <c r="CP23" s="2">
        <v>0</v>
      </c>
      <c r="CQ23" s="2">
        <v>0</v>
      </c>
      <c r="CR23" s="2">
        <v>0</v>
      </c>
      <c r="CS23" s="2">
        <v>5</v>
      </c>
      <c r="CT23" s="2">
        <v>2</v>
      </c>
      <c r="CU23" s="2">
        <v>0</v>
      </c>
      <c r="CV23" s="2">
        <v>3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10</v>
      </c>
      <c r="DC23" s="2">
        <v>5</v>
      </c>
      <c r="DD23" s="2">
        <v>0</v>
      </c>
      <c r="DF23" s="2">
        <v>57800</v>
      </c>
      <c r="DG23" s="2">
        <v>18900</v>
      </c>
      <c r="DH23" s="2">
        <v>2200</v>
      </c>
      <c r="DI23" s="2">
        <v>71700</v>
      </c>
      <c r="DJ23" s="2">
        <v>25500</v>
      </c>
      <c r="DK23" s="2">
        <v>2300</v>
      </c>
      <c r="DL23" s="2">
        <v>0</v>
      </c>
      <c r="DM23" s="2">
        <v>0</v>
      </c>
      <c r="DN23" s="2">
        <v>0</v>
      </c>
      <c r="DO23" s="2">
        <v>2600</v>
      </c>
      <c r="DP23" s="2">
        <v>1400</v>
      </c>
      <c r="DQ23" s="2">
        <v>100</v>
      </c>
      <c r="DR23" s="2">
        <v>5400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2000</v>
      </c>
      <c r="DY23" s="2">
        <v>300</v>
      </c>
      <c r="DZ23" s="2">
        <v>0</v>
      </c>
      <c r="EB23" s="2">
        <v>60</v>
      </c>
      <c r="EC23" s="2">
        <v>14</v>
      </c>
      <c r="ED23" s="2">
        <v>0</v>
      </c>
      <c r="EE23" s="2">
        <v>66</v>
      </c>
      <c r="EF23" s="2">
        <v>18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X23" s="2">
        <v>48</v>
      </c>
      <c r="EY23" s="2">
        <v>3</v>
      </c>
      <c r="EZ23" s="2">
        <v>1</v>
      </c>
      <c r="FA23" s="2">
        <v>63</v>
      </c>
      <c r="FB23" s="2">
        <v>6</v>
      </c>
      <c r="FC23" s="2">
        <v>1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</row>
    <row r="24" spans="1:174" x14ac:dyDescent="0.35">
      <c r="A24" s="2" t="s">
        <v>49</v>
      </c>
      <c r="B24" t="s">
        <v>68</v>
      </c>
      <c r="C24" s="2">
        <v>19141</v>
      </c>
      <c r="D24" s="2">
        <v>10505</v>
      </c>
      <c r="E24" s="2">
        <v>10854</v>
      </c>
      <c r="F24" s="2">
        <v>6267</v>
      </c>
      <c r="G24" s="2">
        <v>406</v>
      </c>
      <c r="H24" s="2">
        <v>12487</v>
      </c>
      <c r="I24" s="2">
        <v>12957</v>
      </c>
      <c r="J24" s="2">
        <v>5427</v>
      </c>
      <c r="K24" s="2">
        <v>129</v>
      </c>
      <c r="L24" s="2">
        <v>0</v>
      </c>
      <c r="M24" s="2">
        <v>13672</v>
      </c>
      <c r="N24" s="2">
        <v>3979</v>
      </c>
      <c r="O24" s="2">
        <v>19</v>
      </c>
      <c r="P24" s="2">
        <v>26651</v>
      </c>
      <c r="Q24" s="2">
        <v>22194</v>
      </c>
      <c r="R24" s="2">
        <v>18122</v>
      </c>
      <c r="S24" s="2">
        <v>6520</v>
      </c>
      <c r="T24" s="2">
        <v>437</v>
      </c>
      <c r="U24" s="2">
        <v>24117</v>
      </c>
      <c r="V24" s="2">
        <v>21211</v>
      </c>
      <c r="W24" s="2">
        <v>5895</v>
      </c>
      <c r="X24" s="2">
        <v>115</v>
      </c>
      <c r="Y24" s="2">
        <v>0</v>
      </c>
      <c r="Z24" s="2">
        <v>16162</v>
      </c>
      <c r="AA24" s="2">
        <v>4782</v>
      </c>
      <c r="AB24" s="2">
        <v>29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125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J24" s="2">
        <v>35</v>
      </c>
      <c r="CK24" s="2">
        <v>19</v>
      </c>
      <c r="CL24" s="2">
        <v>4</v>
      </c>
      <c r="CM24" s="2">
        <v>47</v>
      </c>
      <c r="CN24" s="2">
        <v>22</v>
      </c>
      <c r="CO24" s="2">
        <v>4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2</v>
      </c>
      <c r="DC24" s="2">
        <v>2</v>
      </c>
      <c r="DD24" s="2">
        <v>0</v>
      </c>
      <c r="DF24" s="2">
        <v>14100</v>
      </c>
      <c r="DG24" s="2">
        <v>8200</v>
      </c>
      <c r="DH24" s="2">
        <v>200</v>
      </c>
      <c r="DI24" s="2">
        <v>23300</v>
      </c>
      <c r="DJ24" s="2">
        <v>11700</v>
      </c>
      <c r="DK24" s="2">
        <v>200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100</v>
      </c>
      <c r="DY24" s="2">
        <v>0</v>
      </c>
      <c r="DZ24" s="2">
        <v>0</v>
      </c>
      <c r="EB24" s="2">
        <v>33</v>
      </c>
      <c r="EC24" s="2">
        <v>0</v>
      </c>
      <c r="ED24" s="2">
        <v>0</v>
      </c>
      <c r="EE24" s="2">
        <v>44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X24" s="2">
        <v>78</v>
      </c>
      <c r="EY24" s="2">
        <v>17</v>
      </c>
      <c r="EZ24" s="2">
        <v>0</v>
      </c>
      <c r="FA24" s="2">
        <v>133</v>
      </c>
      <c r="FB24" s="2">
        <v>14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</row>
    <row r="25" spans="1:174" x14ac:dyDescent="0.35">
      <c r="A25" s="2" t="s">
        <v>50</v>
      </c>
      <c r="B25" t="s">
        <v>69</v>
      </c>
      <c r="C25" s="2">
        <v>23500</v>
      </c>
      <c r="D25" s="2">
        <v>12500</v>
      </c>
      <c r="E25" s="2">
        <v>7600</v>
      </c>
      <c r="F25" s="2">
        <v>5000</v>
      </c>
      <c r="G25" s="2">
        <v>2200</v>
      </c>
      <c r="H25" s="2">
        <v>18500</v>
      </c>
      <c r="I25" s="2">
        <v>10100</v>
      </c>
      <c r="J25" s="2">
        <v>6200</v>
      </c>
      <c r="K25" s="2">
        <v>3200</v>
      </c>
      <c r="L25" s="2">
        <v>0</v>
      </c>
      <c r="M25" s="2">
        <v>9400</v>
      </c>
      <c r="N25" s="2">
        <v>2700</v>
      </c>
      <c r="O25" s="2">
        <v>19</v>
      </c>
      <c r="P25" s="2">
        <v>23900</v>
      </c>
      <c r="Q25" s="2">
        <v>13700</v>
      </c>
      <c r="R25" s="2">
        <v>11900</v>
      </c>
      <c r="S25" s="2">
        <v>7500</v>
      </c>
      <c r="T25" s="2">
        <v>2300</v>
      </c>
      <c r="U25" s="2">
        <v>19300</v>
      </c>
      <c r="V25" s="2">
        <v>13100</v>
      </c>
      <c r="W25" s="2">
        <v>10300</v>
      </c>
      <c r="X25" s="2">
        <v>3600</v>
      </c>
      <c r="Y25" s="2">
        <v>0</v>
      </c>
      <c r="Z25" s="2">
        <v>11500</v>
      </c>
      <c r="AA25" s="2">
        <v>3400</v>
      </c>
      <c r="AB25" s="2">
        <v>24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J25" s="2">
        <v>26</v>
      </c>
      <c r="CK25" s="2">
        <v>12</v>
      </c>
      <c r="CL25" s="2">
        <v>3</v>
      </c>
      <c r="CM25" s="2">
        <v>27</v>
      </c>
      <c r="CN25" s="2">
        <v>14</v>
      </c>
      <c r="CO25" s="2">
        <v>4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F25" s="2">
        <v>17100</v>
      </c>
      <c r="DG25" s="2">
        <v>6000</v>
      </c>
      <c r="DH25" s="2">
        <v>1000</v>
      </c>
      <c r="DI25" s="2">
        <v>17900</v>
      </c>
      <c r="DJ25" s="2">
        <v>9300</v>
      </c>
      <c r="DK25" s="2">
        <v>1100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B25" s="2">
        <v>58</v>
      </c>
      <c r="EC25" s="2">
        <v>12</v>
      </c>
      <c r="ED25" s="2">
        <v>0</v>
      </c>
      <c r="EE25" s="2">
        <v>54</v>
      </c>
      <c r="EF25" s="2">
        <v>18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X25" s="2">
        <v>111</v>
      </c>
      <c r="EY25" s="2">
        <v>36</v>
      </c>
      <c r="EZ25" s="2">
        <v>0</v>
      </c>
      <c r="FA25" s="2">
        <v>118</v>
      </c>
      <c r="FB25" s="2">
        <v>60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</row>
    <row r="26" spans="1:174" x14ac:dyDescent="0.35">
      <c r="A26" s="2" t="s">
        <v>51</v>
      </c>
      <c r="B26" t="s">
        <v>70</v>
      </c>
      <c r="C26" s="2">
        <v>6300</v>
      </c>
      <c r="D26" s="2">
        <v>6500</v>
      </c>
      <c r="E26" s="2">
        <v>4700</v>
      </c>
      <c r="F26" s="2">
        <v>2200</v>
      </c>
      <c r="G26" s="2">
        <v>100</v>
      </c>
      <c r="H26" s="2">
        <v>7000</v>
      </c>
      <c r="I26" s="2">
        <v>5100</v>
      </c>
      <c r="J26" s="2">
        <v>2100</v>
      </c>
      <c r="K26" s="2">
        <v>100</v>
      </c>
      <c r="L26" s="2">
        <v>0</v>
      </c>
      <c r="M26" s="2">
        <v>3751</v>
      </c>
      <c r="N26" s="2">
        <v>1407</v>
      </c>
      <c r="O26" s="2">
        <v>8</v>
      </c>
      <c r="P26" s="2">
        <v>18000</v>
      </c>
      <c r="Q26" s="2">
        <v>14200</v>
      </c>
      <c r="R26" s="2">
        <v>9300</v>
      </c>
      <c r="S26" s="2">
        <v>3200</v>
      </c>
      <c r="T26" s="2">
        <v>100</v>
      </c>
      <c r="U26" s="2">
        <v>15000</v>
      </c>
      <c r="V26" s="2">
        <v>9600</v>
      </c>
      <c r="W26" s="2">
        <v>3100</v>
      </c>
      <c r="X26" s="2">
        <v>100</v>
      </c>
      <c r="Y26" s="2">
        <v>0</v>
      </c>
      <c r="Z26" s="2">
        <v>7900</v>
      </c>
      <c r="AA26" s="2">
        <v>1800</v>
      </c>
      <c r="AB26" s="2">
        <v>16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500</v>
      </c>
      <c r="AP26" s="2">
        <v>0</v>
      </c>
      <c r="AQ26" s="2">
        <v>0</v>
      </c>
      <c r="AR26" s="2">
        <v>0</v>
      </c>
      <c r="AS26" s="2">
        <v>0</v>
      </c>
      <c r="AT26" s="2">
        <v>100</v>
      </c>
      <c r="AU26" s="2">
        <v>0</v>
      </c>
      <c r="AV26" s="2">
        <v>0</v>
      </c>
      <c r="AW26" s="2">
        <v>0</v>
      </c>
      <c r="AX26" s="2">
        <v>0</v>
      </c>
      <c r="AY26" s="2">
        <v>73</v>
      </c>
      <c r="AZ26" s="2">
        <v>4</v>
      </c>
      <c r="BA26" s="2">
        <v>2900</v>
      </c>
      <c r="BB26" s="2">
        <v>0</v>
      </c>
      <c r="BC26" s="2">
        <v>0</v>
      </c>
      <c r="BD26" s="2">
        <v>0</v>
      </c>
      <c r="BE26" s="2">
        <v>0</v>
      </c>
      <c r="BF26" s="2">
        <v>1300</v>
      </c>
      <c r="BG26" s="2">
        <v>0</v>
      </c>
      <c r="BH26" s="2">
        <v>0</v>
      </c>
      <c r="BI26" s="2">
        <v>0</v>
      </c>
      <c r="BJ26" s="2">
        <v>0</v>
      </c>
      <c r="BK26" s="2">
        <v>638</v>
      </c>
      <c r="BL26" s="2">
        <v>286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J26" s="2">
        <v>19</v>
      </c>
      <c r="CK26" s="2">
        <v>7</v>
      </c>
      <c r="CL26" s="2">
        <v>1</v>
      </c>
      <c r="CM26" s="2">
        <v>23</v>
      </c>
      <c r="CN26" s="2">
        <v>7</v>
      </c>
      <c r="CO26" s="2">
        <v>1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16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F26" s="2">
        <v>14300</v>
      </c>
      <c r="DG26" s="2">
        <v>5300</v>
      </c>
      <c r="DH26" s="2">
        <v>100</v>
      </c>
      <c r="DI26" s="2">
        <v>21300</v>
      </c>
      <c r="DJ26" s="2">
        <v>6000</v>
      </c>
      <c r="DK26" s="2">
        <v>100</v>
      </c>
      <c r="DL26" s="2">
        <v>0</v>
      </c>
      <c r="DM26" s="2">
        <v>0</v>
      </c>
      <c r="DN26" s="2">
        <v>0</v>
      </c>
      <c r="DO26" s="2">
        <v>300</v>
      </c>
      <c r="DP26" s="2">
        <v>0</v>
      </c>
      <c r="DQ26" s="2">
        <v>0</v>
      </c>
      <c r="DR26" s="2">
        <v>1300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B26" s="2">
        <v>3</v>
      </c>
      <c r="EC26" s="2">
        <v>0</v>
      </c>
      <c r="ED26" s="2">
        <v>0</v>
      </c>
      <c r="EE26" s="2">
        <v>4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1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X26" s="2">
        <v>36</v>
      </c>
      <c r="EY26" s="2">
        <v>11</v>
      </c>
      <c r="EZ26" s="2">
        <v>0</v>
      </c>
      <c r="FA26" s="2">
        <v>46</v>
      </c>
      <c r="FB26" s="2">
        <v>12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</row>
    <row r="27" spans="1:174" x14ac:dyDescent="0.35">
      <c r="A27" s="2" t="s">
        <v>52</v>
      </c>
      <c r="B27" t="s">
        <v>71</v>
      </c>
      <c r="C27" s="2">
        <v>4900</v>
      </c>
      <c r="D27" s="2">
        <v>5100</v>
      </c>
      <c r="E27" s="2">
        <v>6000</v>
      </c>
      <c r="F27" s="2">
        <v>2200</v>
      </c>
      <c r="G27" s="2">
        <v>0</v>
      </c>
      <c r="H27" s="2">
        <v>5400</v>
      </c>
      <c r="I27" s="2">
        <v>6800</v>
      </c>
      <c r="J27" s="2">
        <v>5300</v>
      </c>
      <c r="K27" s="2">
        <v>1200</v>
      </c>
      <c r="L27" s="2">
        <v>0</v>
      </c>
      <c r="M27" s="2">
        <v>3606</v>
      </c>
      <c r="N27" s="2">
        <v>1444</v>
      </c>
      <c r="O27" s="2">
        <v>8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J27" s="2">
        <v>58</v>
      </c>
      <c r="CK27" s="2">
        <v>23</v>
      </c>
      <c r="CL27" s="2">
        <v>6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F27" s="2">
        <v>36706</v>
      </c>
      <c r="DG27" s="2">
        <v>22142</v>
      </c>
      <c r="DH27" s="2">
        <v>321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B27" s="2">
        <v>44</v>
      </c>
      <c r="EC27" s="2">
        <v>14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X27" s="2">
        <v>248</v>
      </c>
      <c r="EY27" s="2">
        <v>60</v>
      </c>
      <c r="EZ27" s="2">
        <v>7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</row>
    <row r="28" spans="1:174" x14ac:dyDescent="0.35">
      <c r="A28" s="2" t="s">
        <v>53</v>
      </c>
      <c r="B28" t="s">
        <v>72</v>
      </c>
      <c r="C28" s="2">
        <v>12400</v>
      </c>
      <c r="D28" s="2">
        <v>6700</v>
      </c>
      <c r="E28" s="2">
        <v>6600</v>
      </c>
      <c r="F28" s="2">
        <v>3200</v>
      </c>
      <c r="G28" s="2">
        <v>400</v>
      </c>
      <c r="H28" s="2">
        <v>8300</v>
      </c>
      <c r="I28" s="2">
        <v>8000</v>
      </c>
      <c r="J28" s="2">
        <v>3700</v>
      </c>
      <c r="K28" s="2">
        <v>600</v>
      </c>
      <c r="L28" s="2">
        <v>0</v>
      </c>
      <c r="M28" s="2">
        <v>5409</v>
      </c>
      <c r="N28" s="2">
        <v>1401</v>
      </c>
      <c r="O28" s="2">
        <v>11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100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J28" s="2">
        <v>42</v>
      </c>
      <c r="CK28" s="2">
        <v>17</v>
      </c>
      <c r="CL28" s="2">
        <v>3</v>
      </c>
      <c r="CM28" s="2">
        <v>42</v>
      </c>
      <c r="CN28" s="2">
        <v>17</v>
      </c>
      <c r="CO28" s="2">
        <v>3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2</v>
      </c>
      <c r="DC28" s="2">
        <v>1</v>
      </c>
      <c r="DD28" s="2">
        <v>0</v>
      </c>
      <c r="DF28" s="2">
        <v>14000</v>
      </c>
      <c r="DG28" s="2">
        <v>4900</v>
      </c>
      <c r="DH28" s="2">
        <v>200</v>
      </c>
      <c r="DI28" s="2">
        <v>14000</v>
      </c>
      <c r="DJ28" s="2">
        <v>4900</v>
      </c>
      <c r="DK28" s="2">
        <v>200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B28" s="2">
        <v>43</v>
      </c>
      <c r="EC28" s="2">
        <v>6</v>
      </c>
      <c r="ED28" s="2">
        <v>0</v>
      </c>
      <c r="EE28" s="2">
        <v>43</v>
      </c>
      <c r="EF28" s="2">
        <v>6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X28" s="2">
        <v>111</v>
      </c>
      <c r="EY28" s="2">
        <v>18</v>
      </c>
      <c r="EZ28" s="2">
        <v>0</v>
      </c>
      <c r="FA28" s="2">
        <v>111</v>
      </c>
      <c r="FB28" s="2">
        <v>18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</row>
    <row r="29" spans="1:174" s="2" customFormat="1" x14ac:dyDescent="0.35">
      <c r="B29" s="3" t="s">
        <v>75</v>
      </c>
      <c r="C29" s="2">
        <v>913017</v>
      </c>
      <c r="D29" s="2">
        <v>534889</v>
      </c>
      <c r="E29" s="2">
        <v>405968</v>
      </c>
      <c r="F29" s="2">
        <v>291050</v>
      </c>
      <c r="G29" s="2">
        <v>42850</v>
      </c>
      <c r="H29" s="2">
        <v>686573</v>
      </c>
      <c r="I29" s="2">
        <v>478224</v>
      </c>
      <c r="J29" s="2">
        <v>326286</v>
      </c>
      <c r="K29" s="2">
        <v>66116</v>
      </c>
      <c r="L29" s="2">
        <v>618</v>
      </c>
      <c r="M29" s="2">
        <v>479150</v>
      </c>
      <c r="N29" s="2">
        <v>134143</v>
      </c>
      <c r="O29" s="2">
        <v>1430.6687444094505</v>
      </c>
      <c r="P29" s="2">
        <v>1356217</v>
      </c>
      <c r="Q29" s="2">
        <v>1126368</v>
      </c>
      <c r="R29" s="2">
        <v>852159</v>
      </c>
      <c r="S29" s="2">
        <v>447773</v>
      </c>
      <c r="T29" s="2">
        <v>55618</v>
      </c>
      <c r="U29" s="2">
        <v>1250513</v>
      </c>
      <c r="V29" s="2">
        <v>943802</v>
      </c>
      <c r="W29" s="2">
        <v>507489</v>
      </c>
      <c r="X29" s="2">
        <v>78961</v>
      </c>
      <c r="Y29" s="2">
        <v>750</v>
      </c>
      <c r="Z29" s="2">
        <v>786377</v>
      </c>
      <c r="AA29" s="2">
        <v>211482</v>
      </c>
      <c r="AB29" s="2">
        <v>2429.3511865928958</v>
      </c>
      <c r="AC29" s="2">
        <v>3200</v>
      </c>
      <c r="AD29" s="2">
        <v>1900</v>
      </c>
      <c r="AE29" s="2">
        <v>500</v>
      </c>
      <c r="AF29" s="2">
        <v>0</v>
      </c>
      <c r="AG29" s="2">
        <v>0</v>
      </c>
      <c r="AH29" s="2">
        <v>2800</v>
      </c>
      <c r="AI29" s="2">
        <v>1400</v>
      </c>
      <c r="AJ29" s="2">
        <v>200</v>
      </c>
      <c r="AK29" s="2">
        <v>0</v>
      </c>
      <c r="AL29" s="2">
        <v>0</v>
      </c>
      <c r="AM29" s="2">
        <v>1000</v>
      </c>
      <c r="AN29" s="2">
        <v>400</v>
      </c>
      <c r="AO29" s="2">
        <v>119457</v>
      </c>
      <c r="AP29" s="2">
        <v>115462</v>
      </c>
      <c r="AQ29" s="2">
        <v>89289</v>
      </c>
      <c r="AR29" s="2">
        <v>16411</v>
      </c>
      <c r="AS29" s="2">
        <v>516</v>
      </c>
      <c r="AT29" s="2">
        <v>121016</v>
      </c>
      <c r="AU29" s="2">
        <v>107068</v>
      </c>
      <c r="AV29" s="2">
        <v>37708</v>
      </c>
      <c r="AW29" s="2">
        <v>3900</v>
      </c>
      <c r="AX29" s="2">
        <v>0</v>
      </c>
      <c r="AY29" s="2">
        <v>74569</v>
      </c>
      <c r="AZ29" s="2">
        <v>28699</v>
      </c>
      <c r="BA29" s="2">
        <v>128000</v>
      </c>
      <c r="BB29" s="4">
        <v>17600</v>
      </c>
      <c r="BC29" s="4">
        <v>1100</v>
      </c>
      <c r="BD29" s="4">
        <v>500</v>
      </c>
      <c r="BE29" s="4">
        <v>0</v>
      </c>
      <c r="BF29" s="4">
        <v>70500</v>
      </c>
      <c r="BG29" s="4">
        <v>9300</v>
      </c>
      <c r="BH29" s="4">
        <v>200</v>
      </c>
      <c r="BI29" s="4">
        <v>0</v>
      </c>
      <c r="BJ29" s="4">
        <v>0</v>
      </c>
      <c r="BK29" s="4">
        <v>46450</v>
      </c>
      <c r="BL29" s="4">
        <v>18260</v>
      </c>
      <c r="BM29" s="2">
        <v>1300</v>
      </c>
      <c r="BN29" s="2">
        <v>0</v>
      </c>
      <c r="BO29" s="2">
        <v>0</v>
      </c>
      <c r="BP29" s="2">
        <v>0</v>
      </c>
      <c r="BQ29" s="2">
        <v>0</v>
      </c>
      <c r="BR29" s="2">
        <v>100</v>
      </c>
      <c r="BS29" s="2">
        <v>0</v>
      </c>
      <c r="BT29" s="2">
        <v>0</v>
      </c>
      <c r="BU29" s="2">
        <v>0</v>
      </c>
      <c r="BV29" s="2">
        <v>0</v>
      </c>
      <c r="BW29" s="2">
        <v>387</v>
      </c>
      <c r="BX29" s="2">
        <v>22</v>
      </c>
      <c r="BY29" s="2">
        <v>20483</v>
      </c>
      <c r="BZ29" s="2">
        <v>4694</v>
      </c>
      <c r="CA29" s="2">
        <v>983</v>
      </c>
      <c r="CB29" s="2">
        <v>223</v>
      </c>
      <c r="CC29" s="2">
        <v>0</v>
      </c>
      <c r="CD29" s="2">
        <v>5234</v>
      </c>
      <c r="CE29" s="2">
        <v>1591</v>
      </c>
      <c r="CF29" s="2">
        <v>371</v>
      </c>
      <c r="CG29" s="2">
        <v>3</v>
      </c>
      <c r="CH29" s="2">
        <v>0</v>
      </c>
      <c r="CI29" s="2">
        <f t="shared" ref="CI29" si="0">SUM(CI3:CI28)</f>
        <v>0</v>
      </c>
      <c r="CJ29" s="2">
        <f t="shared" ref="CJ29" si="1">SUM(CJ3:CJ28)</f>
        <v>1477.3239000000001</v>
      </c>
      <c r="CK29" s="2">
        <f t="shared" ref="CK29" si="2">SUM(CK3:CK28)</f>
        <v>514.35640000000001</v>
      </c>
      <c r="CL29" s="2">
        <f t="shared" ref="CL29" si="3">SUM(CL3:CL28)</f>
        <v>113.16969999999999</v>
      </c>
      <c r="CM29" s="2">
        <f t="shared" ref="CM29" si="4">SUM(CM3:CM28)</f>
        <v>1803.4916000000001</v>
      </c>
      <c r="CN29" s="2">
        <f t="shared" ref="CN29" si="5">SUM(CN3:CN28)</f>
        <v>626.05240000000003</v>
      </c>
      <c r="CO29" s="2">
        <f t="shared" ref="CO29" si="6">SUM(CO3:CO28)</f>
        <v>114.45099999999999</v>
      </c>
      <c r="CP29" s="2">
        <f t="shared" ref="CP29" si="7">SUM(CP3:CP28)</f>
        <v>7</v>
      </c>
      <c r="CQ29" s="2">
        <f t="shared" ref="CQ29" si="8">SUM(CQ3:CQ28)</f>
        <v>2</v>
      </c>
      <c r="CR29" s="2">
        <f t="shared" ref="CR29" si="9">SUM(CR3:CR28)</f>
        <v>0</v>
      </c>
      <c r="CS29" s="2">
        <f t="shared" ref="CS29:CT29" si="10">SUM(CS3:CS28)</f>
        <v>72.150000000000006</v>
      </c>
      <c r="CT29" s="2">
        <f t="shared" si="10"/>
        <v>17.59</v>
      </c>
      <c r="CU29" s="2">
        <f t="shared" ref="CU29" si="11">SUM(CU3:CU28)</f>
        <v>7.0000000000000007E-2</v>
      </c>
      <c r="CV29" s="2">
        <f t="shared" ref="CV29" si="12">SUM(CV3:CV28)</f>
        <v>93</v>
      </c>
      <c r="CW29" s="2">
        <f t="shared" ref="CW29" si="13">SUM(CW3:CW28)</f>
        <v>16</v>
      </c>
      <c r="CX29" s="2">
        <f t="shared" ref="CX29" si="14">SUM(CX3:CX28)</f>
        <v>3</v>
      </c>
      <c r="CY29" s="2">
        <f t="shared" ref="CY29" si="15">SUM(CY3:CY28)</f>
        <v>6</v>
      </c>
      <c r="CZ29" s="2">
        <f t="shared" ref="CZ29" si="16">SUM(CZ3:CZ28)</f>
        <v>1</v>
      </c>
      <c r="DA29" s="2">
        <f t="shared" ref="DA29" si="17">SUM(DA3:DA28)</f>
        <v>0</v>
      </c>
      <c r="DB29" s="2">
        <f t="shared" ref="DB29" si="18">SUM(DB3:DB28)</f>
        <v>92.430599999999998</v>
      </c>
      <c r="DC29" s="2">
        <f t="shared" ref="DC29" si="19">SUM(DC3:DC28)</f>
        <v>49.802300000000002</v>
      </c>
      <c r="DD29" s="2">
        <f t="shared" ref="DD29" si="20">SUM(DD3:DD28)</f>
        <v>3</v>
      </c>
      <c r="DE29" s="2">
        <f t="shared" ref="DE29" si="21">SUM(DE3:DE28)</f>
        <v>0</v>
      </c>
      <c r="DF29" s="2">
        <f t="shared" ref="DF29" si="22">SUM(DF3:DF28)</f>
        <v>1009945</v>
      </c>
      <c r="DG29" s="2">
        <f t="shared" ref="DG29" si="23">SUM(DG3:DG28)</f>
        <v>385448</v>
      </c>
      <c r="DH29" s="2">
        <f t="shared" ref="DH29" si="24">SUM(DH3:DH28)</f>
        <v>22252</v>
      </c>
      <c r="DI29" s="2">
        <f t="shared" ref="DI29" si="25">SUM(DI3:DI28)</f>
        <v>1762855</v>
      </c>
      <c r="DJ29" s="2">
        <f t="shared" ref="DJ29" si="26">SUM(DJ3:DJ28)</f>
        <v>692599</v>
      </c>
      <c r="DK29" s="2">
        <f t="shared" ref="DK29" si="27">SUM(DK3:DK28)</f>
        <v>28438</v>
      </c>
      <c r="DL29" s="2">
        <f t="shared" ref="DL29:DM29" si="28">SUM(DL3:DL28)</f>
        <v>2700</v>
      </c>
      <c r="DM29" s="2">
        <f t="shared" si="28"/>
        <v>200</v>
      </c>
      <c r="DN29" s="2">
        <f t="shared" ref="DN29" si="29">SUM(DN3:DN28)</f>
        <v>0</v>
      </c>
      <c r="DO29" s="2">
        <f t="shared" ref="DO29" si="30">SUM(DO3:DO28)</f>
        <v>168928</v>
      </c>
      <c r="DP29" s="2">
        <f t="shared" ref="DP29" si="31">SUM(DP3:DP28)</f>
        <v>71162</v>
      </c>
      <c r="DQ29" s="2">
        <f t="shared" ref="DQ29" si="32">SUM(DQ3:DQ28)</f>
        <v>3607</v>
      </c>
      <c r="DR29" s="2">
        <f t="shared" ref="DR29" si="33">SUM(DR3:DR28)</f>
        <v>59300</v>
      </c>
      <c r="DS29" s="2">
        <f t="shared" ref="DS29" si="34">SUM(DS3:DS28)</f>
        <v>1000</v>
      </c>
      <c r="DT29" s="2">
        <f t="shared" ref="DT29" si="35">SUM(DT3:DT28)</f>
        <v>0</v>
      </c>
      <c r="DU29" s="2">
        <f t="shared" ref="DU29" si="36">SUM(DU3:DU28)</f>
        <v>700</v>
      </c>
      <c r="DV29" s="2">
        <f t="shared" ref="DV29" si="37">SUM(DV3:DV28)</f>
        <v>0</v>
      </c>
      <c r="DW29" s="2">
        <f t="shared" ref="DW29" si="38">SUM(DW3:DW28)</f>
        <v>0</v>
      </c>
      <c r="DX29" s="2">
        <f t="shared" ref="DX29" si="39">SUM(DX3:DX28)</f>
        <v>14245</v>
      </c>
      <c r="DY29" s="2">
        <f t="shared" ref="DY29" si="40">SUM(DY3:DY28)</f>
        <v>1119</v>
      </c>
      <c r="DZ29" s="2">
        <f t="shared" ref="DZ29" si="41">SUM(DZ3:DZ28)</f>
        <v>276</v>
      </c>
      <c r="EA29" s="2">
        <f t="shared" ref="EA29" si="42">SUM(EA3:EA28)</f>
        <v>0</v>
      </c>
      <c r="EB29" s="2">
        <f t="shared" ref="EB29" si="43">SUM(EB3:EB28)</f>
        <v>675</v>
      </c>
      <c r="EC29" s="2">
        <f t="shared" ref="EC29" si="44">SUM(EC3:EC28)</f>
        <v>148</v>
      </c>
      <c r="ED29" s="2">
        <f t="shared" ref="ED29" si="45">SUM(ED3:ED28)</f>
        <v>3</v>
      </c>
      <c r="EE29" s="2">
        <f t="shared" ref="EE29:EF29" si="46">SUM(EE3:EE28)</f>
        <v>982</v>
      </c>
      <c r="EF29" s="2">
        <f t="shared" si="46"/>
        <v>229</v>
      </c>
      <c r="EG29" s="2">
        <f t="shared" ref="EG29" si="47">SUM(EG3:EG28)</f>
        <v>4</v>
      </c>
      <c r="EH29" s="2">
        <f t="shared" ref="EH29" si="48">SUM(EH3:EH28)</f>
        <v>4</v>
      </c>
      <c r="EI29" s="2">
        <f t="shared" ref="EI29" si="49">SUM(EI3:EI28)</f>
        <v>0</v>
      </c>
      <c r="EJ29" s="2">
        <f t="shared" ref="EJ29" si="50">SUM(EJ3:EJ28)</f>
        <v>0</v>
      </c>
      <c r="EK29" s="2">
        <f t="shared" ref="EK29" si="51">SUM(EK3:EK28)</f>
        <v>77</v>
      </c>
      <c r="EL29" s="2">
        <f t="shared" ref="EL29" si="52">SUM(EL3:EL28)</f>
        <v>10</v>
      </c>
      <c r="EM29" s="2">
        <f t="shared" ref="EM29" si="53">SUM(EM3:EM28)</f>
        <v>0</v>
      </c>
      <c r="EN29" s="2">
        <f t="shared" ref="EN29" si="54">SUM(EN3:EN28)</f>
        <v>39</v>
      </c>
      <c r="EO29" s="2">
        <f t="shared" ref="EO29" si="55">SUM(EO3:EO28)</f>
        <v>0</v>
      </c>
      <c r="EP29" s="2">
        <f t="shared" ref="EP29" si="56">SUM(EP3:EP28)</f>
        <v>0</v>
      </c>
      <c r="EQ29" s="2">
        <f t="shared" ref="EQ29" si="57">SUM(EQ3:EQ28)</f>
        <v>1</v>
      </c>
      <c r="ER29" s="2">
        <f t="shared" ref="ER29" si="58">SUM(ER3:ER28)</f>
        <v>0</v>
      </c>
      <c r="ES29" s="2">
        <f t="shared" ref="ES29" si="59">SUM(ES3:ES28)</f>
        <v>0</v>
      </c>
      <c r="ET29" s="2">
        <f t="shared" ref="ET29" si="60">SUM(ET3:ET28)</f>
        <v>12</v>
      </c>
      <c r="EU29" s="2">
        <f t="shared" ref="EU29" si="61">SUM(EU3:EU28)</f>
        <v>0</v>
      </c>
      <c r="EV29" s="2">
        <f t="shared" ref="EV29" si="62">SUM(EV3:EV28)</f>
        <v>0</v>
      </c>
      <c r="EW29" s="2">
        <f t="shared" ref="EW29" si="63">SUM(EW3:EW28)</f>
        <v>0</v>
      </c>
      <c r="EX29" s="2">
        <f t="shared" ref="EX29:EY29" si="64">SUM(EX3:EX28)</f>
        <v>3259</v>
      </c>
      <c r="EY29" s="2">
        <f t="shared" si="64"/>
        <v>737</v>
      </c>
      <c r="EZ29" s="2">
        <f t="shared" ref="EZ29" si="65">SUM(EZ3:EZ28)</f>
        <v>31</v>
      </c>
      <c r="FA29" s="2">
        <f t="shared" ref="FA29" si="66">SUM(FA3:FA28)</f>
        <v>4739</v>
      </c>
      <c r="FB29" s="2">
        <f t="shared" ref="FB29" si="67">SUM(FB3:FB28)</f>
        <v>1089</v>
      </c>
      <c r="FC29" s="2">
        <f t="shared" ref="FC29" si="68">SUM(FC3:FC28)</f>
        <v>34</v>
      </c>
      <c r="FD29" s="2">
        <f t="shared" ref="FD29" si="69">SUM(FD3:FD28)</f>
        <v>37</v>
      </c>
      <c r="FE29" s="2">
        <f t="shared" ref="FE29" si="70">SUM(FE3:FE28)</f>
        <v>6</v>
      </c>
      <c r="FF29" s="2">
        <f t="shared" ref="FF29" si="71">SUM(FF3:FF28)</f>
        <v>0</v>
      </c>
      <c r="FG29" s="2">
        <f t="shared" ref="FG29" si="72">SUM(FG3:FG28)</f>
        <v>371</v>
      </c>
      <c r="FH29" s="2">
        <f t="shared" ref="FH29" si="73">SUM(FH3:FH28)</f>
        <v>50</v>
      </c>
      <c r="FI29" s="2">
        <f t="shared" ref="FI29" si="74">SUM(FI3:FI28)</f>
        <v>0</v>
      </c>
      <c r="FJ29" s="2">
        <f t="shared" ref="FJ29" si="75">SUM(FJ3:FJ28)</f>
        <v>140</v>
      </c>
      <c r="FK29" s="2">
        <f t="shared" ref="FK29" si="76">SUM(FK3:FK28)</f>
        <v>4</v>
      </c>
      <c r="FL29" s="2">
        <f t="shared" ref="FL29" si="77">SUM(FL3:FL28)</f>
        <v>0</v>
      </c>
      <c r="FM29" s="2">
        <f t="shared" ref="FM29" si="78">SUM(FM3:FM28)</f>
        <v>0</v>
      </c>
      <c r="FN29" s="2">
        <f t="shared" ref="FN29" si="79">SUM(FN3:FN28)</f>
        <v>0</v>
      </c>
      <c r="FO29" s="2">
        <f t="shared" ref="FO29" si="80">SUM(FO3:FO28)</f>
        <v>0</v>
      </c>
      <c r="FP29" s="2">
        <f t="shared" ref="FP29" si="81">SUM(FP3:FP28)</f>
        <v>43</v>
      </c>
      <c r="FQ29" s="2">
        <f t="shared" ref="FQ29:FR29" si="82">SUM(FQ3:FQ28)</f>
        <v>1</v>
      </c>
      <c r="FR29" s="2">
        <f t="shared" si="82"/>
        <v>0</v>
      </c>
    </row>
    <row r="30" spans="1:174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</row>
    <row r="31" spans="1:174" s="2" customFormat="1" x14ac:dyDescent="0.35"/>
    <row r="32" spans="1:174" x14ac:dyDescent="0.35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</row>
    <row r="33" spans="1:1" ht="21" x14ac:dyDescent="0.5">
      <c r="A33" s="11"/>
    </row>
    <row r="60" spans="4:86" x14ac:dyDescent="0.35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97" spans="2:2" x14ac:dyDescent="0.35">
      <c r="B97">
        <v>0</v>
      </c>
    </row>
    <row r="98" spans="2:2" x14ac:dyDescent="0.35">
      <c r="B98">
        <v>0</v>
      </c>
    </row>
    <row r="99" spans="2:2" x14ac:dyDescent="0.35">
      <c r="B99">
        <v>0</v>
      </c>
    </row>
    <row r="100" spans="2:2" x14ac:dyDescent="0.35">
      <c r="B100">
        <v>0</v>
      </c>
    </row>
    <row r="101" spans="2:2" x14ac:dyDescent="0.35">
      <c r="B101">
        <v>0</v>
      </c>
    </row>
    <row r="102" spans="2:2" x14ac:dyDescent="0.35">
      <c r="B102">
        <v>0</v>
      </c>
    </row>
  </sheetData>
  <dataValidations count="1">
    <dataValidation type="whole" operator="greaterThanOrEqual" allowBlank="1" showInputMessage="1" showErrorMessage="1" error="Angabe einer ganzen Zahl erforderlich" sqref="BA6:BL6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aufsummierte Ergebnisse Runde 4</vt:lpstr>
      <vt:lpstr>Ergebnisse Runde 4</vt:lpstr>
    </vt:vector>
  </TitlesOfParts>
  <Company>LANUV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Reichert</dc:creator>
  <cp:lastModifiedBy>Müller, Leonie-Mailin</cp:lastModifiedBy>
  <dcterms:created xsi:type="dcterms:W3CDTF">2024-09-03T08:50:52Z</dcterms:created>
  <dcterms:modified xsi:type="dcterms:W3CDTF">2025-04-24T13:48:39Z</dcterms:modified>
</cp:coreProperties>
</file>