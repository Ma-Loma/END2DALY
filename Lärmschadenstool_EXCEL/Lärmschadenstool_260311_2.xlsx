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Dokumente_lokal\LÄRM Projekte\Quantifizierung von Lärmschadenskosten\ETCHE-LAI-Tool\"/>
    </mc:Choice>
  </mc:AlternateContent>
  <xr:revisionPtr revIDLastSave="0" documentId="13_ncr:1_{728D0B32-F1CA-4F25-919F-F1CB88F52F48}" xr6:coauthVersionLast="47" xr6:coauthVersionMax="47" xr10:uidLastSave="{00000000-0000-0000-0000-000000000000}"/>
  <bookViews>
    <workbookView xWindow="57480" yWindow="-120" windowWidth="29040" windowHeight="17640" activeTab="1" xr2:uid="{00000000-000D-0000-FFFF-FFFF00000000}"/>
  </bookViews>
  <sheets>
    <sheet name="Frontend" sheetId="8" r:id="rId1"/>
    <sheet name="Agglomeration road" sheetId="1" r:id="rId2"/>
    <sheet name="Fragen" sheetId="11" r:id="rId3"/>
    <sheet name="ERF HRA" sheetId="10" r:id="rId4"/>
    <sheet name="5dB to 1dB refinement" sheetId="9" r:id="rId5"/>
    <sheet name="Agglomeration rail" sheetId="2" r:id="rId6"/>
    <sheet name="Agglomeration air" sheetId="3" r:id="rId7"/>
    <sheet name="Agglomeration industry" sheetId="4" r:id="rId8"/>
    <sheet name="Major roads " sheetId="5" r:id="rId9"/>
    <sheet name="Major railways " sheetId="6" r:id="rId10"/>
    <sheet name="Major airports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3" i="1" l="1"/>
  <c r="G73" i="1"/>
  <c r="H73" i="1"/>
  <c r="I73" i="1"/>
  <c r="J73" i="1"/>
  <c r="K73" i="1"/>
  <c r="L73" i="1"/>
  <c r="M73" i="1"/>
  <c r="N73" i="1"/>
  <c r="E73" i="1"/>
  <c r="F62" i="1"/>
  <c r="G62" i="1"/>
  <c r="H62" i="1"/>
  <c r="I62" i="1"/>
  <c r="J62" i="1"/>
  <c r="K62" i="1"/>
  <c r="L62" i="1"/>
  <c r="M62" i="1"/>
  <c r="N62" i="1"/>
  <c r="O62" i="1"/>
  <c r="E62" i="1"/>
  <c r="C55" i="1"/>
  <c r="C56" i="1" s="1"/>
  <c r="C57" i="1" s="1"/>
  <c r="D56" i="1"/>
  <c r="D55" i="1"/>
  <c r="C51" i="1"/>
  <c r="C52" i="1" s="1"/>
  <c r="C53" i="1" s="1"/>
  <c r="D51" i="1"/>
  <c r="C59" i="1"/>
  <c r="C60" i="1"/>
  <c r="C61" i="1" s="1"/>
  <c r="D60" i="1"/>
  <c r="D59" i="1"/>
  <c r="C49" i="1"/>
  <c r="C48" i="1"/>
  <c r="C47" i="1"/>
  <c r="K69" i="1"/>
  <c r="L69" i="1"/>
  <c r="M69" i="1"/>
  <c r="N69" i="1"/>
  <c r="J69" i="1"/>
  <c r="G69" i="1"/>
  <c r="F54" i="1"/>
  <c r="G54" i="1"/>
  <c r="H54" i="1"/>
  <c r="I54" i="1"/>
  <c r="J54" i="1"/>
  <c r="K54" i="1"/>
  <c r="L54" i="1"/>
  <c r="M54" i="1"/>
  <c r="N54" i="1"/>
  <c r="O54" i="1"/>
  <c r="E54" i="1"/>
  <c r="F50" i="1"/>
  <c r="G50" i="1"/>
  <c r="H50" i="1"/>
  <c r="I50" i="1"/>
  <c r="J50" i="1"/>
  <c r="K50" i="1"/>
  <c r="L50" i="1"/>
  <c r="M50" i="1"/>
  <c r="N50" i="1"/>
  <c r="O50" i="1"/>
  <c r="E50" i="1"/>
  <c r="F46" i="1"/>
  <c r="G46" i="1"/>
  <c r="H46" i="1"/>
  <c r="I46" i="1"/>
  <c r="J46" i="1"/>
  <c r="K46" i="1"/>
  <c r="L46" i="1"/>
  <c r="M46" i="1"/>
  <c r="N46" i="1"/>
  <c r="O46" i="1"/>
  <c r="E46" i="1"/>
  <c r="F58" i="1"/>
  <c r="G58" i="1"/>
  <c r="H58" i="1"/>
  <c r="I58" i="1"/>
  <c r="J58" i="1"/>
  <c r="K58" i="1"/>
  <c r="L58" i="1"/>
  <c r="M58" i="1"/>
  <c r="N58" i="1"/>
  <c r="O58" i="1"/>
  <c r="E58" i="1"/>
  <c r="L42" i="1"/>
  <c r="M42" i="1"/>
  <c r="N42" i="1"/>
  <c r="O42" i="1"/>
  <c r="K42" i="1"/>
  <c r="C14" i="1"/>
  <c r="E69" i="1" s="1"/>
  <c r="O23" i="8"/>
  <c r="H23" i="8"/>
  <c r="O22" i="8"/>
  <c r="H22" i="8"/>
  <c r="O19" i="8"/>
  <c r="H19" i="8"/>
  <c r="O18" i="8"/>
  <c r="H18" i="8"/>
  <c r="O15" i="8"/>
  <c r="E14" i="1" s="1"/>
  <c r="H15" i="8"/>
  <c r="G13" i="1" s="1"/>
  <c r="I42" i="1" s="1"/>
  <c r="O14" i="8"/>
  <c r="H14" i="8"/>
  <c r="C13" i="1" l="1"/>
  <c r="E42" i="1" s="1"/>
  <c r="H13" i="1"/>
  <c r="J42" i="1" s="1"/>
  <c r="F13" i="1"/>
  <c r="H42" i="1" s="1"/>
  <c r="D13" i="1"/>
  <c r="F42" i="1" s="1"/>
  <c r="G14" i="1"/>
  <c r="I69" i="1" s="1"/>
  <c r="E13" i="1"/>
  <c r="G42" i="1" s="1"/>
  <c r="F14" i="1"/>
  <c r="H69" i="1" s="1"/>
  <c r="D14" i="1"/>
  <c r="F69" i="1" s="1"/>
  <c r="F13" i="2"/>
  <c r="G12" i="2"/>
  <c r="D69" i="1" l="1"/>
  <c r="E71" i="1" s="1"/>
  <c r="E74" i="1" s="1"/>
  <c r="D42" i="1"/>
  <c r="E44" i="1" s="1"/>
  <c r="I13" i="1"/>
  <c r="C18" i="1" s="1"/>
  <c r="C35" i="8" s="1"/>
  <c r="I14" i="1"/>
  <c r="E13" i="2"/>
  <c r="B13" i="2" s="1"/>
  <c r="D13" i="2"/>
  <c r="C13" i="2"/>
  <c r="F12" i="2"/>
  <c r="D12" i="2" s="1"/>
  <c r="E12" i="2"/>
  <c r="H71" i="1" l="1"/>
  <c r="H74" i="1" s="1"/>
  <c r="J71" i="1"/>
  <c r="J74" i="1" s="1"/>
  <c r="M71" i="1"/>
  <c r="M74" i="1" s="1"/>
  <c r="K71" i="1"/>
  <c r="K74" i="1" s="1"/>
  <c r="L71" i="1"/>
  <c r="L74" i="1" s="1"/>
  <c r="N71" i="1"/>
  <c r="N74" i="1" s="1"/>
  <c r="F71" i="1"/>
  <c r="F74" i="1" s="1"/>
  <c r="G71" i="1"/>
  <c r="G74" i="1" s="1"/>
  <c r="I71" i="1"/>
  <c r="I74" i="1" s="1"/>
  <c r="E63" i="1"/>
  <c r="F63" i="1"/>
  <c r="G63" i="1"/>
  <c r="H63" i="1"/>
  <c r="E59" i="1"/>
  <c r="I63" i="1"/>
  <c r="J63" i="1"/>
  <c r="E51" i="1"/>
  <c r="N63" i="1"/>
  <c r="E55" i="1"/>
  <c r="O63" i="1"/>
  <c r="E47" i="1"/>
  <c r="K63" i="1"/>
  <c r="L63" i="1"/>
  <c r="M63" i="1"/>
  <c r="N44" i="1"/>
  <c r="L44" i="1"/>
  <c r="K44" i="1"/>
  <c r="I44" i="1"/>
  <c r="O44" i="1"/>
  <c r="M44" i="1"/>
  <c r="H44" i="1"/>
  <c r="F44" i="1"/>
  <c r="G44" i="1"/>
  <c r="J44" i="1"/>
  <c r="C19" i="1"/>
  <c r="C36" i="8" s="1"/>
  <c r="C75" i="1" l="1"/>
  <c r="C76" i="1" s="1"/>
  <c r="C64" i="1"/>
  <c r="C65" i="1" s="1"/>
  <c r="C81" i="1" s="1"/>
  <c r="C82" i="1" s="1"/>
  <c r="D75" i="1"/>
  <c r="D76" i="1" s="1"/>
  <c r="O59" i="1"/>
  <c r="O51" i="1"/>
  <c r="O47" i="1"/>
  <c r="O55" i="1"/>
  <c r="F51" i="1"/>
  <c r="F55" i="1"/>
  <c r="F59" i="1"/>
  <c r="F47" i="1"/>
  <c r="H55" i="1"/>
  <c r="H59" i="1"/>
  <c r="H47" i="1"/>
  <c r="H51" i="1"/>
  <c r="M59" i="1"/>
  <c r="M47" i="1"/>
  <c r="M55" i="1"/>
  <c r="M51" i="1"/>
  <c r="K47" i="1"/>
  <c r="K51" i="1"/>
  <c r="K55" i="1"/>
  <c r="K59" i="1"/>
  <c r="N59" i="1"/>
  <c r="N47" i="1"/>
  <c r="N51" i="1"/>
  <c r="N55" i="1"/>
  <c r="D64" i="1"/>
  <c r="D65" i="1" s="1"/>
  <c r="J51" i="1"/>
  <c r="J55" i="1"/>
  <c r="J59" i="1"/>
  <c r="J47" i="1"/>
  <c r="G55" i="1"/>
  <c r="G51" i="1"/>
  <c r="G59" i="1"/>
  <c r="G47" i="1"/>
  <c r="I51" i="1"/>
  <c r="I55" i="1"/>
  <c r="I47" i="1"/>
  <c r="I59" i="1"/>
  <c r="L47" i="1"/>
  <c r="L51" i="1"/>
  <c r="L55" i="1"/>
  <c r="L59" i="1"/>
  <c r="D81" i="1" l="1"/>
  <c r="D82" i="1" s="1"/>
  <c r="E82" i="1" s="1"/>
  <c r="D61" i="1"/>
  <c r="D57" i="1"/>
  <c r="D47" i="1"/>
  <c r="D48" i="1" s="1"/>
  <c r="D49" i="1" s="1"/>
  <c r="D52" i="1"/>
  <c r="D53" i="1" s="1"/>
  <c r="E81" i="1" l="1"/>
</calcChain>
</file>

<file path=xl/sharedStrings.xml><?xml version="1.0" encoding="utf-8"?>
<sst xmlns="http://schemas.openxmlformats.org/spreadsheetml/2006/main" count="243" uniqueCount="144">
  <si>
    <t>L_den</t>
  </si>
  <si>
    <t>Indicator</t>
  </si>
  <si>
    <t>L_night</t>
  </si>
  <si>
    <t>-</t>
  </si>
  <si>
    <t>Summe Belasteter nach END</t>
  </si>
  <si>
    <t>Imputation</t>
  </si>
  <si>
    <t>Mean relative fractions from population above 55 dB L_den or above 50 dB L_night to estimate the population in lower 5 dB exposure categories for railway noise inside agglomerations</t>
  </si>
  <si>
    <t>L_den &gt;= 55 dB</t>
  </si>
  <si>
    <t>L_night &gt;= 50 dB</t>
  </si>
  <si>
    <t>Fraction 
25 - 29 dB</t>
  </si>
  <si>
    <t>Fraction 
30 - 34 dB</t>
  </si>
  <si>
    <t>Fraction 
35 - 39 dB</t>
  </si>
  <si>
    <t>Fraction 
40 - 44 dB</t>
  </si>
  <si>
    <t>Fraction 
45 - 49 dB</t>
  </si>
  <si>
    <t>Fraction 
50 - 54 dB</t>
  </si>
  <si>
    <t>Belastete 
25 - 29 dB</t>
  </si>
  <si>
    <t>Belastete 
30 - 34 dB</t>
  </si>
  <si>
    <t>Belastete 
35 - 39 dB</t>
  </si>
  <si>
    <t>Belastete 
40 - 44 dB</t>
  </si>
  <si>
    <t>Belastete 
45 - 49 dB</t>
  </si>
  <si>
    <t>Belastete 
50 - 54 dB</t>
  </si>
  <si>
    <t>Quantifizierung von Lärmschadenskosten</t>
  </si>
  <si>
    <t>Methodik</t>
  </si>
  <si>
    <t>Eingabe</t>
  </si>
  <si>
    <t>Agglomeration road</t>
  </si>
  <si>
    <r>
      <t xml:space="preserve">Engelmann, N., Blanes Guàrdia, N., Fons-Esteve, J., Vienneau, D., Peris, E., &amp; Röösli, M. (2025). 
</t>
    </r>
    <r>
      <rPr>
        <i/>
        <sz val="11"/>
        <color theme="1"/>
        <rFont val="Calibri"/>
        <family val="2"/>
        <scheme val="minor"/>
      </rPr>
      <t xml:space="preserve">       Environmental noise health risk assessment: Methodology for assessing health risks using 
       data reported under the Environmental Noise Directive</t>
    </r>
    <r>
      <rPr>
        <sz val="11"/>
        <color theme="1"/>
        <rFont val="Calibri"/>
        <family val="2"/>
        <scheme val="minor"/>
      </rPr>
      <t xml:space="preserve"> (ETC HE Report 2023/11: Version 3). 
       Eionet Portal. https://doi.org/10.5281/zenodo.15641306</t>
    </r>
  </si>
  <si>
    <t>Ausgabe</t>
  </si>
  <si>
    <t>Anzahl belasteter Personen ab 25 dB</t>
  </si>
  <si>
    <t>estimate the number of people exposed below the END thresholds for road noise inside agglomerations</t>
  </si>
  <si>
    <t>summarize the number of people exposed below adn above the END thresholds for road noise inside agglomerations</t>
  </si>
  <si>
    <t>relative fractions DE to calculate the exposure values below the END thresholds at 5 dB for L_den and L_night road noise inside agglomerations</t>
  </si>
  <si>
    <t>Sum of people exposed</t>
  </si>
  <si>
    <t>Methodology to improve the transfer process from 5 dB to 1 dB exposure distribution</t>
  </si>
  <si>
    <t>Assessment of noise exposure below the END thresholds</t>
  </si>
  <si>
    <t>Methodology to improve the transfer process from 5 dB to 1 dB exposure distribution (OFFEN)</t>
  </si>
  <si>
    <t>ERF</t>
  </si>
  <si>
    <t>outcome</t>
  </si>
  <si>
    <t>risk_type</t>
  </si>
  <si>
    <t>outcome_type</t>
  </si>
  <si>
    <t>population_type</t>
  </si>
  <si>
    <t>source</t>
  </si>
  <si>
    <t>metric</t>
  </si>
  <si>
    <t>reference</t>
  </si>
  <si>
    <t>DW</t>
  </si>
  <si>
    <t>END_model</t>
  </si>
  <si>
    <t>High noise annoyance</t>
  </si>
  <si>
    <t>absolute_risk</t>
  </si>
  <si>
    <t>prevalence</t>
  </si>
  <si>
    <t>adults</t>
  </si>
  <si>
    <t>road</t>
  </si>
  <si>
    <t>78.9270 - 3.1162 * c + 0.0342 * c^2</t>
  </si>
  <si>
    <t>lden</t>
  </si>
  <si>
    <t>Guski et al. (2017)</t>
  </si>
  <si>
    <t>High sleep disturbance</t>
  </si>
  <si>
    <t>19.4312 - 0.9336 * c + 0.0126 * c^2</t>
  </si>
  <si>
    <t>lnight</t>
  </si>
  <si>
    <t>Basner and McGuire (2018)</t>
  </si>
  <si>
    <t>All-cause mortality</t>
  </si>
  <si>
    <t>relative_risk</t>
  </si>
  <si>
    <t>incidence</t>
  </si>
  <si>
    <t>ifelse(c&gt;threshold,(c-threshold)*1.055,0)</t>
  </si>
  <si>
    <t>Engelmann et al. (2025), ch. 3.3.1</t>
  </si>
  <si>
    <t>Cardiovascular disease</t>
  </si>
  <si>
    <t>ifelse(c&gt;threshold,(c-threshold)*1.032,0)</t>
  </si>
  <si>
    <t>Engelmann et al. (2025), ch. 3.3.2</t>
  </si>
  <si>
    <t>Diabetes</t>
  </si>
  <si>
    <t>ifelse(c&gt;threshold,(c-threshold)*1.062,0)</t>
  </si>
  <si>
    <t>Engelmann et al. (2025), ch. 3.3.3</t>
  </si>
  <si>
    <t>tbc</t>
  </si>
  <si>
    <t>IHD</t>
  </si>
  <si>
    <t>EEA_model</t>
  </si>
  <si>
    <t>END Annex III</t>
  </si>
  <si>
    <t>ifelse(c&gt;threshold, e^((ln(1,08)/10)*(c-threshold)), 1)</t>
  </si>
  <si>
    <t>Lden</t>
  </si>
  <si>
    <t>Lnight</t>
  </si>
  <si>
    <t>Sum
Lden &lt; 55 dB
Lnight &lt; 50 dB</t>
  </si>
  <si>
    <t>Summe</t>
  </si>
  <si>
    <t>mroad outAgg</t>
  </si>
  <si>
    <t>rail</t>
  </si>
  <si>
    <t>mrail outAgg</t>
  </si>
  <si>
    <t>aggrail</t>
  </si>
  <si>
    <t>air</t>
  </si>
  <si>
    <t>mair outAgg</t>
  </si>
  <si>
    <t>aggair</t>
  </si>
  <si>
    <t>Agglomeration road (aggroad)</t>
  </si>
  <si>
    <t>aggroad number exposed</t>
  </si>
  <si>
    <t>Anzahl belasteter Personen nach ULR (EN: END)</t>
  </si>
  <si>
    <t>threshold in dB</t>
  </si>
  <si>
    <t>Sum</t>
  </si>
  <si>
    <t>Sum pi * (RR[Ni]-1)</t>
  </si>
  <si>
    <t>YLL = YLLnat (= 0,2069215) ∙ AFtot</t>
  </si>
  <si>
    <t>Calculation of YLL and YLD</t>
  </si>
  <si>
    <t>number of people exposed according to END (Lden &gt;= 55 dB(A))</t>
  </si>
  <si>
    <t>estimated number of people exposed below the END threshold (Lden &lt; 55 dB(A))</t>
  </si>
  <si>
    <t>estimated number of people exposed below the END threshold (Lnight &lt; 50 dB(A))</t>
  </si>
  <si>
    <t>number of people exposed according to END (Lnight &gt;= 50 dB(A))</t>
  </si>
  <si>
    <t>YLD = DW ∙ AFtot ∙ Co (= 69.411.087)</t>
  </si>
  <si>
    <t>High noise annoyance (HA)</t>
  </si>
  <si>
    <t>High sleep disturbance (HSD)</t>
  </si>
  <si>
    <t>Cardiovascular disease (CVD)</t>
  </si>
  <si>
    <t>Ischaemic Heart Disease (IHD)</t>
  </si>
  <si>
    <t>DALY</t>
  </si>
  <si>
    <t>END model</t>
  </si>
  <si>
    <t>EEA model</t>
  </si>
  <si>
    <t>General</t>
  </si>
  <si>
    <t>Model</t>
  </si>
  <si>
    <t>DALY / EURO</t>
  </si>
  <si>
    <t>EURO</t>
  </si>
  <si>
    <t>EEA-END</t>
  </si>
  <si>
    <t>ERF[Ni] = product of the ERF of the all noise exposure categories</t>
  </si>
  <si>
    <t>M[Ni] = midpoint of noise exposure in each category in dB</t>
  </si>
  <si>
    <t>p[i] = proportion of the population in each noise exposure category Ni</t>
  </si>
  <si>
    <t>RR[Ni] = relative risk for each noise exposure category</t>
  </si>
  <si>
    <t>AFtot = Total attributable fraction from noise exposure</t>
  </si>
  <si>
    <t>p[i]*ERF[Ni]</t>
  </si>
  <si>
    <t>Exposed 
35 - 39 dB</t>
  </si>
  <si>
    <t>Exposed
30 - 34 dB</t>
  </si>
  <si>
    <t>Exposed
25 - 29 dB</t>
  </si>
  <si>
    <t>Exposed 
40 - 44 dB</t>
  </si>
  <si>
    <t>Exposed 
45 - 49 dB</t>
  </si>
  <si>
    <t>Exposed 
50 - 54 dB</t>
  </si>
  <si>
    <t>Exposed
Lden5559</t>
  </si>
  <si>
    <t>Exposed
Lden6064</t>
  </si>
  <si>
    <t>Exposed
Lden6569</t>
  </si>
  <si>
    <t>Exposed
Lden7074</t>
  </si>
  <si>
    <t>Exposed
Lden75</t>
  </si>
  <si>
    <t>Exposed
Lnight5054</t>
  </si>
  <si>
    <t>Exposed
Lnight5559</t>
  </si>
  <si>
    <t>Exposed
Lnight6064</t>
  </si>
  <si>
    <t>Exposed
Lnight6569</t>
  </si>
  <si>
    <t>Exposed
Lnight70</t>
  </si>
  <si>
    <t>Korrekt berechnet?</t>
  </si>
  <si>
    <t>number of observed cases (Co) in each country</t>
  </si>
  <si>
    <t>Frage</t>
  </si>
  <si>
    <t>Bezug</t>
  </si>
  <si>
    <t>#</t>
  </si>
  <si>
    <t>Bevölkerung über 18? "Co represents the total target population size"</t>
  </si>
  <si>
    <t>YLD = YLD of the disease (= 0,0115708) * AFtot</t>
  </si>
  <si>
    <t>YLD = YLD of the disease (= 0,0059261) * AFtot</t>
  </si>
  <si>
    <t>YLD = YLD of the disease (= 0,001276950) * AFtot</t>
  </si>
  <si>
    <t>1 DALY = 70.000 EUR</t>
  </si>
  <si>
    <t>bei HA und HSD: auch für midpoint of noise exposure in each category?
"/100" für AR?</t>
  </si>
  <si>
    <t>HA/ HSD</t>
  </si>
  <si>
    <t>Threshold?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</si>
</sst>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0"/>
    <numFmt numFmtId="165" formatCode="0.00000"/>
    <numFmt numFmtId="166" formatCode="#,##0.00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6" fillId="0" borderId="3" applyNumberFormat="0" applyFill="0" applyAlignment="0" applyProtection="0"/>
    <xf numFmtId="44" fontId="10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3" fontId="0" fillId="0" borderId="0" xfId="0" applyNumberFormat="1"/>
    <xf numFmtId="0" fontId="2" fillId="0" borderId="0" xfId="1"/>
    <xf numFmtId="0" fontId="3" fillId="0" borderId="1" xfId="2"/>
    <xf numFmtId="0" fontId="4" fillId="0" borderId="2" xfId="3"/>
    <xf numFmtId="0" fontId="4" fillId="0" borderId="2" xfId="3"/>
    <xf numFmtId="0" fontId="6" fillId="0" borderId="3" xfId="4"/>
    <xf numFmtId="0" fontId="4" fillId="0" borderId="2" xfId="3"/>
    <xf numFmtId="0" fontId="0" fillId="0" borderId="0" xfId="0" applyBorder="1"/>
    <xf numFmtId="0" fontId="1" fillId="0" borderId="0" xfId="0" applyFont="1" applyBorder="1"/>
    <xf numFmtId="0" fontId="0" fillId="0" borderId="0" xfId="0" quotePrefix="1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5" xfId="0" applyBorder="1"/>
    <xf numFmtId="4" fontId="0" fillId="0" borderId="5" xfId="0" applyNumberFormat="1" applyBorder="1"/>
    <xf numFmtId="0" fontId="7" fillId="0" borderId="4" xfId="0" applyFont="1" applyBorder="1"/>
    <xf numFmtId="0" fontId="0" fillId="0" borderId="0" xfId="0" applyNumberFormat="1"/>
    <xf numFmtId="0" fontId="8" fillId="0" borderId="0" xfId="0" applyFont="1" applyBorder="1"/>
    <xf numFmtId="0" fontId="4" fillId="0" borderId="2" xfId="3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Font="1" applyBorder="1"/>
    <xf numFmtId="0" fontId="0" fillId="0" borderId="4" xfId="0" applyFont="1" applyBorder="1"/>
    <xf numFmtId="0" fontId="0" fillId="0" borderId="4" xfId="0" applyBorder="1" applyAlignment="1">
      <alignment wrapText="1"/>
    </xf>
    <xf numFmtId="166" fontId="0" fillId="0" borderId="5" xfId="0" applyNumberFormat="1" applyBorder="1" applyAlignment="1">
      <alignment wrapText="1"/>
    </xf>
    <xf numFmtId="0" fontId="8" fillId="0" borderId="0" xfId="0" applyFont="1"/>
    <xf numFmtId="0" fontId="8" fillId="0" borderId="4" xfId="0" applyFont="1" applyBorder="1"/>
    <xf numFmtId="4" fontId="9" fillId="0" borderId="4" xfId="0" applyNumberFormat="1" applyFont="1" applyBorder="1"/>
    <xf numFmtId="4" fontId="8" fillId="0" borderId="5" xfId="0" applyNumberFormat="1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wrapText="1"/>
    </xf>
    <xf numFmtId="0" fontId="11" fillId="0" borderId="0" xfId="0" applyFont="1" applyBorder="1"/>
    <xf numFmtId="0" fontId="12" fillId="0" borderId="4" xfId="0" applyFont="1" applyBorder="1"/>
    <xf numFmtId="0" fontId="0" fillId="0" borderId="0" xfId="0" applyAlignment="1">
      <alignment horizontal="right"/>
    </xf>
    <xf numFmtId="4" fontId="0" fillId="0" borderId="0" xfId="0" applyNumberFormat="1"/>
    <xf numFmtId="44" fontId="0" fillId="0" borderId="0" xfId="5" applyFont="1"/>
    <xf numFmtId="0" fontId="13" fillId="0" borderId="4" xfId="0" applyFont="1" applyBorder="1"/>
    <xf numFmtId="4" fontId="1" fillId="0" borderId="0" xfId="0" applyNumberFormat="1" applyFont="1"/>
    <xf numFmtId="44" fontId="1" fillId="0" borderId="0" xfId="5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4" fillId="0" borderId="2" xfId="3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6">
    <cellStyle name="Standard" xfId="0" builtinId="0"/>
    <cellStyle name="Überschrift" xfId="1" builtinId="15"/>
    <cellStyle name="Überschrift 1" xfId="2" builtinId="16"/>
    <cellStyle name="Überschrift 2" xfId="3" builtinId="17"/>
    <cellStyle name="Überschrift 3" xfId="4" builtinId="18"/>
    <cellStyle name="Währung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639328</xdr:colOff>
      <xdr:row>41</xdr:row>
      <xdr:rowOff>58222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816753C-59E3-7019-E5BA-AF976763F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8259328" cy="767822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22</xdr:col>
      <xdr:colOff>744117</xdr:colOff>
      <xdr:row>43</xdr:row>
      <xdr:rowOff>134485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5F08A0A-6FA2-3668-7716-A7B7A9411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90500"/>
          <a:ext cx="8364117" cy="8135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420253</xdr:colOff>
      <xdr:row>38</xdr:row>
      <xdr:rowOff>319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0CABCB5-53E9-4491-9B4A-9933D0022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9534525"/>
          <a:ext cx="825932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9</xdr:col>
      <xdr:colOff>363095</xdr:colOff>
      <xdr:row>24</xdr:row>
      <xdr:rowOff>162506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644501D-1883-4A06-AF9F-DFE55FBD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5153025"/>
          <a:ext cx="8202170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D27E-13C9-40A4-936B-06BBF9BE4E35}">
  <dimension ref="A1:O36"/>
  <sheetViews>
    <sheetView topLeftCell="A5" workbookViewId="0">
      <selection activeCell="B28" sqref="B28"/>
    </sheetView>
  </sheetViews>
  <sheetFormatPr baseColWidth="10" defaultRowHeight="15" x14ac:dyDescent="0.25"/>
  <cols>
    <col min="1" max="1" width="13" customWidth="1"/>
    <col min="2" max="2" width="27.85546875" bestFit="1" customWidth="1"/>
  </cols>
  <sheetData>
    <row r="1" spans="1:15" ht="23.25" x14ac:dyDescent="0.35">
      <c r="A1" s="9" t="s">
        <v>21</v>
      </c>
    </row>
    <row r="2" spans="1:15" ht="15" customHeight="1" x14ac:dyDescent="0.35">
      <c r="A2" s="9"/>
    </row>
    <row r="3" spans="1:15" ht="15" customHeight="1" x14ac:dyDescent="0.35">
      <c r="A3" s="9"/>
    </row>
    <row r="4" spans="1:15" ht="20.25" thickBot="1" x14ac:dyDescent="0.35">
      <c r="A4" s="10" t="s">
        <v>22</v>
      </c>
    </row>
    <row r="5" spans="1:15" ht="74.25" customHeight="1" thickTop="1" x14ac:dyDescent="0.25">
      <c r="A5" s="55" t="s">
        <v>25</v>
      </c>
      <c r="B5" s="55"/>
      <c r="C5" s="55"/>
      <c r="D5" s="55"/>
      <c r="E5" s="55"/>
      <c r="F5" s="55"/>
      <c r="G5" s="55"/>
    </row>
    <row r="8" spans="1:15" ht="20.25" thickBot="1" x14ac:dyDescent="0.35">
      <c r="A8" s="10" t="s">
        <v>23</v>
      </c>
    </row>
    <row r="9" spans="1:15" ht="15.75" thickTop="1" x14ac:dyDescent="0.25"/>
    <row r="10" spans="1:15" ht="18" thickBot="1" x14ac:dyDescent="0.35">
      <c r="A10" s="56" t="s">
        <v>86</v>
      </c>
      <c r="B10" s="56"/>
    </row>
    <row r="11" spans="1:15" ht="15.75" thickTop="1" x14ac:dyDescent="0.25"/>
    <row r="12" spans="1:15" x14ac:dyDescent="0.25">
      <c r="C12" s="57" t="s">
        <v>73</v>
      </c>
      <c r="D12" s="57"/>
      <c r="E12" s="57"/>
      <c r="F12" s="57"/>
      <c r="G12" s="57"/>
      <c r="H12" s="57"/>
      <c r="J12" s="57" t="s">
        <v>74</v>
      </c>
      <c r="K12" s="57"/>
      <c r="L12" s="57"/>
      <c r="M12" s="57"/>
      <c r="N12" s="57"/>
      <c r="O12" s="57"/>
    </row>
    <row r="13" spans="1:15" ht="30" x14ac:dyDescent="0.25">
      <c r="C13" s="1" t="s">
        <v>121</v>
      </c>
      <c r="D13" s="1" t="s">
        <v>122</v>
      </c>
      <c r="E13" s="1" t="s">
        <v>123</v>
      </c>
      <c r="F13" s="1" t="s">
        <v>124</v>
      </c>
      <c r="G13" s="1" t="s">
        <v>125</v>
      </c>
      <c r="H13" t="s">
        <v>76</v>
      </c>
      <c r="J13" s="1" t="s">
        <v>126</v>
      </c>
      <c r="K13" s="1" t="s">
        <v>127</v>
      </c>
      <c r="L13" s="1" t="s">
        <v>128</v>
      </c>
      <c r="M13" s="1" t="s">
        <v>129</v>
      </c>
      <c r="N13" s="1" t="s">
        <v>130</v>
      </c>
      <c r="O13" t="s">
        <v>76</v>
      </c>
    </row>
    <row r="14" spans="1:15" x14ac:dyDescent="0.25">
      <c r="A14" s="58" t="s">
        <v>49</v>
      </c>
      <c r="B14" t="s">
        <v>77</v>
      </c>
      <c r="C14" s="8">
        <v>3725500</v>
      </c>
      <c r="D14" s="8">
        <v>1643600</v>
      </c>
      <c r="E14" s="8">
        <v>998600</v>
      </c>
      <c r="F14" s="8">
        <v>481900</v>
      </c>
      <c r="G14" s="8">
        <v>33500</v>
      </c>
      <c r="H14" s="8">
        <f>SUM(C14:G14)</f>
        <v>6883100</v>
      </c>
      <c r="I14" s="8"/>
      <c r="J14" s="8">
        <v>2411700</v>
      </c>
      <c r="K14" s="8">
        <v>1244300</v>
      </c>
      <c r="L14" s="8">
        <v>574000</v>
      </c>
      <c r="M14" s="8">
        <v>54400</v>
      </c>
      <c r="N14" s="8">
        <v>2100</v>
      </c>
      <c r="O14" s="8">
        <f>SUM(J14:N14)</f>
        <v>4286500</v>
      </c>
    </row>
    <row r="15" spans="1:15" x14ac:dyDescent="0.25">
      <c r="A15" s="58"/>
      <c r="B15" t="s">
        <v>84</v>
      </c>
      <c r="C15" s="8">
        <v>3762100</v>
      </c>
      <c r="D15" s="8">
        <v>3050900</v>
      </c>
      <c r="E15" s="8">
        <v>2479000</v>
      </c>
      <c r="F15" s="8">
        <v>1006400</v>
      </c>
      <c r="G15" s="8">
        <v>99800</v>
      </c>
      <c r="H15" s="8">
        <f t="shared" ref="H15:H23" si="0">SUM(C15:G15)</f>
        <v>10398200</v>
      </c>
      <c r="I15" s="8"/>
      <c r="J15" s="8">
        <v>3383500</v>
      </c>
      <c r="K15" s="8">
        <v>2682400</v>
      </c>
      <c r="L15" s="8">
        <v>1283500</v>
      </c>
      <c r="M15" s="8">
        <v>156200</v>
      </c>
      <c r="N15" s="8">
        <v>4900</v>
      </c>
      <c r="O15" s="8">
        <f t="shared" ref="O15:O23" si="1">SUM(J15:N15)</f>
        <v>7510500</v>
      </c>
    </row>
    <row r="16" spans="1:15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58" t="s">
        <v>78</v>
      </c>
      <c r="B18" t="s">
        <v>79</v>
      </c>
      <c r="C18" s="8">
        <v>716500</v>
      </c>
      <c r="D18" s="8">
        <v>340700</v>
      </c>
      <c r="E18" s="8">
        <v>141700</v>
      </c>
      <c r="F18" s="8">
        <v>36000</v>
      </c>
      <c r="G18" s="8">
        <v>4600</v>
      </c>
      <c r="H18" s="8">
        <f t="shared" si="0"/>
        <v>1239500</v>
      </c>
      <c r="I18" s="8"/>
      <c r="J18" s="8">
        <v>568900</v>
      </c>
      <c r="K18" s="8">
        <v>258600</v>
      </c>
      <c r="L18" s="8">
        <v>93100</v>
      </c>
      <c r="M18" s="8">
        <v>21100</v>
      </c>
      <c r="N18" s="8">
        <v>2200</v>
      </c>
      <c r="O18" s="8">
        <f t="shared" si="1"/>
        <v>943900</v>
      </c>
    </row>
    <row r="19" spans="1:15" x14ac:dyDescent="0.25">
      <c r="A19" s="58"/>
      <c r="B19" t="s">
        <v>80</v>
      </c>
      <c r="C19" s="8">
        <v>1289300</v>
      </c>
      <c r="D19" s="8">
        <v>787600</v>
      </c>
      <c r="E19" s="8">
        <v>383200</v>
      </c>
      <c r="F19" s="8">
        <v>74300</v>
      </c>
      <c r="G19" s="8">
        <v>13200</v>
      </c>
      <c r="H19" s="8">
        <f t="shared" si="0"/>
        <v>2547600</v>
      </c>
      <c r="I19" s="8"/>
      <c r="J19" s="8">
        <v>1058400</v>
      </c>
      <c r="K19" s="8">
        <v>609100</v>
      </c>
      <c r="L19" s="8">
        <v>175500</v>
      </c>
      <c r="M19" s="8">
        <v>32000</v>
      </c>
      <c r="N19" s="8">
        <v>7700</v>
      </c>
      <c r="O19" s="8">
        <f t="shared" si="1"/>
        <v>1882700</v>
      </c>
    </row>
    <row r="20" spans="1:15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58" t="s">
        <v>81</v>
      </c>
      <c r="B22" t="s">
        <v>82</v>
      </c>
      <c r="C22" s="8">
        <v>303900</v>
      </c>
      <c r="D22" s="8">
        <v>69900</v>
      </c>
      <c r="E22" s="8">
        <v>3900</v>
      </c>
      <c r="F22" s="8">
        <v>0</v>
      </c>
      <c r="G22" s="8">
        <v>0</v>
      </c>
      <c r="H22" s="8">
        <f t="shared" si="0"/>
        <v>377700</v>
      </c>
      <c r="I22" s="8"/>
      <c r="J22" s="8">
        <v>123200</v>
      </c>
      <c r="K22" s="8">
        <v>17600</v>
      </c>
      <c r="L22" s="8">
        <v>400</v>
      </c>
      <c r="M22" s="8">
        <v>0</v>
      </c>
      <c r="N22" s="8">
        <v>0</v>
      </c>
      <c r="O22" s="8">
        <f t="shared" si="1"/>
        <v>141200</v>
      </c>
    </row>
    <row r="23" spans="1:15" x14ac:dyDescent="0.25">
      <c r="A23" s="58"/>
      <c r="B23" t="s">
        <v>83</v>
      </c>
      <c r="C23" s="8">
        <v>419800</v>
      </c>
      <c r="D23" s="8">
        <v>51900</v>
      </c>
      <c r="E23" s="8">
        <v>3000</v>
      </c>
      <c r="F23" s="8">
        <v>700</v>
      </c>
      <c r="G23" s="8">
        <v>0</v>
      </c>
      <c r="H23" s="8">
        <f t="shared" si="0"/>
        <v>475400</v>
      </c>
      <c r="I23" s="8"/>
      <c r="J23" s="8">
        <v>121500</v>
      </c>
      <c r="K23" s="8">
        <v>10900</v>
      </c>
      <c r="L23" s="8">
        <v>400</v>
      </c>
      <c r="M23" s="8">
        <v>0</v>
      </c>
      <c r="N23" s="8">
        <v>0</v>
      </c>
      <c r="O23" s="8">
        <f t="shared" si="1"/>
        <v>132800</v>
      </c>
    </row>
    <row r="30" spans="1:15" ht="20.25" thickBot="1" x14ac:dyDescent="0.35">
      <c r="A30" s="10" t="s">
        <v>26</v>
      </c>
    </row>
    <row r="31" spans="1:15" ht="15.75" thickTop="1" x14ac:dyDescent="0.25"/>
    <row r="32" spans="1:15" ht="18" thickBot="1" x14ac:dyDescent="0.35">
      <c r="A32" s="56" t="s">
        <v>24</v>
      </c>
      <c r="B32" s="56"/>
    </row>
    <row r="33" spans="2:4" ht="15.75" thickTop="1" x14ac:dyDescent="0.25"/>
    <row r="34" spans="2:4" x14ac:dyDescent="0.25">
      <c r="C34" t="s">
        <v>27</v>
      </c>
    </row>
    <row r="35" spans="2:4" x14ac:dyDescent="0.25">
      <c r="B35" t="s">
        <v>73</v>
      </c>
      <c r="C35" s="8">
        <f>'Agglomeration road'!C18</f>
        <v>20796420.796399999</v>
      </c>
      <c r="D35" s="8"/>
    </row>
    <row r="36" spans="2:4" x14ac:dyDescent="0.25">
      <c r="B36" t="s">
        <v>74</v>
      </c>
      <c r="C36" s="8">
        <f>'Agglomeration road'!C19</f>
        <v>15021000</v>
      </c>
      <c r="D36" s="8"/>
    </row>
  </sheetData>
  <mergeCells count="8">
    <mergeCell ref="A5:G5"/>
    <mergeCell ref="A32:B32"/>
    <mergeCell ref="A10:B10"/>
    <mergeCell ref="C12:H12"/>
    <mergeCell ref="J12:O12"/>
    <mergeCell ref="A14:A15"/>
    <mergeCell ref="A18:A19"/>
    <mergeCell ref="A22:A2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U82"/>
  <sheetViews>
    <sheetView tabSelected="1" topLeftCell="A18" workbookViewId="0">
      <selection activeCell="F39" sqref="F39"/>
    </sheetView>
  </sheetViews>
  <sheetFormatPr baseColWidth="10" defaultColWidth="11.7109375" defaultRowHeight="15" x14ac:dyDescent="0.25"/>
  <cols>
    <col min="1" max="1" width="20.85546875" customWidth="1"/>
    <col min="2" max="2" width="56.85546875" customWidth="1"/>
    <col min="3" max="3" width="23.28515625" customWidth="1"/>
    <col min="4" max="4" width="25.7109375" customWidth="1"/>
    <col min="5" max="5" width="20.28515625" customWidth="1"/>
    <col min="6" max="6" width="19.7109375" customWidth="1"/>
    <col min="7" max="7" width="39.7109375" customWidth="1"/>
    <col min="8" max="8" width="17.28515625" customWidth="1"/>
    <col min="9" max="9" width="20.5703125" customWidth="1"/>
    <col min="10" max="10" width="19.140625" customWidth="1"/>
    <col min="11" max="11" width="17" customWidth="1"/>
    <col min="12" max="12" width="18" customWidth="1"/>
    <col min="13" max="13" width="17.7109375" customWidth="1"/>
    <col min="14" max="14" width="15.42578125" customWidth="1"/>
  </cols>
  <sheetData>
    <row r="1" spans="1:9" ht="20.25" thickBot="1" x14ac:dyDescent="0.35">
      <c r="A1" s="10" t="s">
        <v>24</v>
      </c>
    </row>
    <row r="2" spans="1:9" ht="15.75" thickTop="1" x14ac:dyDescent="0.25"/>
    <row r="4" spans="1:9" ht="18" thickBot="1" x14ac:dyDescent="0.35">
      <c r="A4" s="11" t="s">
        <v>33</v>
      </c>
    </row>
    <row r="5" spans="1:9" ht="15.75" thickTop="1" x14ac:dyDescent="0.25"/>
    <row r="6" spans="1:9" ht="15.75" thickBot="1" x14ac:dyDescent="0.3">
      <c r="A6" s="13" t="s">
        <v>30</v>
      </c>
    </row>
    <row r="7" spans="1:9" s="1" customFormat="1" ht="30" x14ac:dyDescent="0.25"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9" x14ac:dyDescent="0.25">
      <c r="B8" s="1" t="s">
        <v>73</v>
      </c>
      <c r="C8" s="2">
        <v>1.4250000000000001E-3</v>
      </c>
      <c r="D8" s="2">
        <v>4.1700000000000001E-3</v>
      </c>
      <c r="E8" s="2">
        <v>1.6857E-2</v>
      </c>
      <c r="F8" s="2">
        <v>6.8123000000000003E-2</v>
      </c>
      <c r="G8" s="2">
        <v>0.278499</v>
      </c>
      <c r="H8" s="2">
        <v>0.63092800000000004</v>
      </c>
    </row>
    <row r="9" spans="1:9" x14ac:dyDescent="0.25">
      <c r="B9" t="s">
        <v>74</v>
      </c>
      <c r="C9" s="2">
        <v>8.5990000000000007E-3</v>
      </c>
      <c r="D9" s="2">
        <v>3.1836999999999997E-2</v>
      </c>
      <c r="E9" s="2">
        <v>0.14993899999999999</v>
      </c>
      <c r="F9" s="2">
        <v>0.37795099999999998</v>
      </c>
      <c r="G9" s="2">
        <v>0.431674</v>
      </c>
      <c r="H9" s="3" t="s">
        <v>3</v>
      </c>
    </row>
    <row r="10" spans="1:9" x14ac:dyDescent="0.25">
      <c r="C10" s="2"/>
      <c r="D10" s="2"/>
      <c r="E10" s="2"/>
      <c r="F10" s="2"/>
      <c r="G10" s="2"/>
      <c r="H10" s="3"/>
    </row>
    <row r="11" spans="1:9" ht="15.75" thickBot="1" x14ac:dyDescent="0.3">
      <c r="A11" s="13" t="s">
        <v>28</v>
      </c>
    </row>
    <row r="12" spans="1:9" ht="45" x14ac:dyDescent="0.25">
      <c r="C12" s="1" t="s">
        <v>117</v>
      </c>
      <c r="D12" s="1" t="s">
        <v>116</v>
      </c>
      <c r="E12" s="1" t="s">
        <v>115</v>
      </c>
      <c r="F12" s="1" t="s">
        <v>118</v>
      </c>
      <c r="G12" s="1" t="s">
        <v>119</v>
      </c>
      <c r="H12" s="1" t="s">
        <v>120</v>
      </c>
      <c r="I12" s="1" t="s">
        <v>75</v>
      </c>
    </row>
    <row r="13" spans="1:9" x14ac:dyDescent="0.25">
      <c r="B13" s="1" t="s">
        <v>73</v>
      </c>
      <c r="C13" s="6">
        <f>Frontend!$H$15*C8</f>
        <v>14817.435000000001</v>
      </c>
      <c r="D13" s="6">
        <f>Frontend!$H$15*D8</f>
        <v>43360.493999999999</v>
      </c>
      <c r="E13" s="6">
        <f>Frontend!$H$15*E8</f>
        <v>175282.45740000001</v>
      </c>
      <c r="F13" s="6">
        <f>Frontend!$H$15*F8</f>
        <v>708356.57860000001</v>
      </c>
      <c r="G13" s="6">
        <f>Frontend!$H$15*G8</f>
        <v>2895888.3018</v>
      </c>
      <c r="H13" s="6">
        <f>Frontend!$H$15*H8</f>
        <v>6560515.5296</v>
      </c>
      <c r="I13" s="6">
        <f>SUM(C13:H13)</f>
        <v>10398220.796399999</v>
      </c>
    </row>
    <row r="14" spans="1:9" x14ac:dyDescent="0.25">
      <c r="B14" t="s">
        <v>74</v>
      </c>
      <c r="C14" s="6">
        <f>Frontend!$O$15*C9</f>
        <v>64582.789500000006</v>
      </c>
      <c r="D14" s="6">
        <f>Frontend!$O$15*D9</f>
        <v>239111.78849999997</v>
      </c>
      <c r="E14" s="6">
        <f>Frontend!$O$15*E9</f>
        <v>1126116.8595</v>
      </c>
      <c r="F14" s="6">
        <f>Frontend!$O$15*F9</f>
        <v>2838600.9855</v>
      </c>
      <c r="G14" s="6">
        <f>Frontend!$O$15*G9</f>
        <v>3242087.577</v>
      </c>
      <c r="H14" s="7" t="s">
        <v>3</v>
      </c>
      <c r="I14" s="6">
        <f>SUM(C14:G14)</f>
        <v>7510500</v>
      </c>
    </row>
    <row r="16" spans="1:9" ht="15.75" thickBot="1" x14ac:dyDescent="0.3">
      <c r="A16" s="13" t="s">
        <v>29</v>
      </c>
    </row>
    <row r="17" spans="1:13" x14ac:dyDescent="0.25">
      <c r="C17" t="s">
        <v>31</v>
      </c>
    </row>
    <row r="18" spans="1:13" x14ac:dyDescent="0.25">
      <c r="B18" s="1" t="s">
        <v>73</v>
      </c>
      <c r="C18" s="8">
        <f>Frontend!$H$15+I13</f>
        <v>20796420.796399999</v>
      </c>
    </row>
    <row r="19" spans="1:13" x14ac:dyDescent="0.25">
      <c r="B19" t="s">
        <v>74</v>
      </c>
      <c r="C19" s="8">
        <f>Frontend!$O$15+I14</f>
        <v>15021000</v>
      </c>
    </row>
    <row r="22" spans="1:13" ht="18" thickBot="1" x14ac:dyDescent="0.35">
      <c r="A22" s="11" t="s">
        <v>34</v>
      </c>
    </row>
    <row r="23" spans="1:13" ht="15.75" thickTop="1" x14ac:dyDescent="0.25"/>
    <row r="24" spans="1:13" x14ac:dyDescent="0.25">
      <c r="B24" t="s">
        <v>68</v>
      </c>
    </row>
    <row r="27" spans="1:13" ht="18" thickBot="1" x14ac:dyDescent="0.35">
      <c r="A27" s="14" t="s">
        <v>35</v>
      </c>
    </row>
    <row r="28" spans="1:13" ht="15.75" thickTop="1" x14ac:dyDescent="0.25"/>
    <row r="29" spans="1:13" x14ac:dyDescent="0.25"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35</v>
      </c>
      <c r="H29" t="s">
        <v>41</v>
      </c>
      <c r="I29" t="s">
        <v>87</v>
      </c>
      <c r="J29" t="s">
        <v>43</v>
      </c>
      <c r="K29" t="s">
        <v>44</v>
      </c>
      <c r="L29" t="s">
        <v>70</v>
      </c>
      <c r="M29" t="s">
        <v>42</v>
      </c>
    </row>
    <row r="30" spans="1:13" x14ac:dyDescent="0.25">
      <c r="B30" t="s">
        <v>97</v>
      </c>
      <c r="C30" t="s">
        <v>46</v>
      </c>
      <c r="D30" t="s">
        <v>47</v>
      </c>
      <c r="E30" t="s">
        <v>48</v>
      </c>
      <c r="F30" t="s">
        <v>49</v>
      </c>
      <c r="G30" t="s">
        <v>50</v>
      </c>
      <c r="H30" t="s">
        <v>51</v>
      </c>
      <c r="I30" s="34">
        <v>45</v>
      </c>
      <c r="J30">
        <v>1.0999999999999999E-2</v>
      </c>
      <c r="K30">
        <v>1</v>
      </c>
      <c r="L30">
        <v>1</v>
      </c>
      <c r="M30" t="s">
        <v>52</v>
      </c>
    </row>
    <row r="31" spans="1:13" x14ac:dyDescent="0.25">
      <c r="B31" t="s">
        <v>98</v>
      </c>
      <c r="C31" t="s">
        <v>46</v>
      </c>
      <c r="D31" t="s">
        <v>47</v>
      </c>
      <c r="E31" t="s">
        <v>48</v>
      </c>
      <c r="F31" t="s">
        <v>49</v>
      </c>
      <c r="G31" t="s">
        <v>54</v>
      </c>
      <c r="H31" t="s">
        <v>55</v>
      </c>
      <c r="I31" s="34">
        <v>40</v>
      </c>
      <c r="J31">
        <v>0.01</v>
      </c>
      <c r="K31">
        <v>1</v>
      </c>
      <c r="L31">
        <v>1</v>
      </c>
      <c r="M31" t="s">
        <v>56</v>
      </c>
    </row>
    <row r="32" spans="1:13" x14ac:dyDescent="0.25">
      <c r="B32" t="s">
        <v>57</v>
      </c>
      <c r="C32" t="s">
        <v>58</v>
      </c>
      <c r="D32" t="s">
        <v>59</v>
      </c>
      <c r="E32" t="s">
        <v>48</v>
      </c>
      <c r="F32" t="s">
        <v>49</v>
      </c>
      <c r="G32" s="8" t="s">
        <v>60</v>
      </c>
      <c r="H32" t="s">
        <v>51</v>
      </c>
      <c r="I32" s="34">
        <v>45</v>
      </c>
      <c r="K32">
        <v>0</v>
      </c>
      <c r="L32">
        <v>1</v>
      </c>
      <c r="M32" t="s">
        <v>61</v>
      </c>
    </row>
    <row r="33" spans="1:21" x14ac:dyDescent="0.25">
      <c r="B33" t="s">
        <v>99</v>
      </c>
      <c r="C33" t="s">
        <v>58</v>
      </c>
      <c r="D33" t="s">
        <v>59</v>
      </c>
      <c r="E33" t="s">
        <v>48</v>
      </c>
      <c r="F33" t="s">
        <v>49</v>
      </c>
      <c r="G33" s="8" t="s">
        <v>63</v>
      </c>
      <c r="H33" t="s">
        <v>51</v>
      </c>
      <c r="I33">
        <v>45</v>
      </c>
      <c r="K33">
        <v>0</v>
      </c>
      <c r="L33">
        <v>1</v>
      </c>
      <c r="M33" t="s">
        <v>64</v>
      </c>
    </row>
    <row r="34" spans="1:21" x14ac:dyDescent="0.25">
      <c r="B34" t="s">
        <v>65</v>
      </c>
      <c r="C34" t="s">
        <v>58</v>
      </c>
      <c r="D34" t="s">
        <v>59</v>
      </c>
      <c r="E34" t="s">
        <v>48</v>
      </c>
      <c r="F34" t="s">
        <v>49</v>
      </c>
      <c r="G34" s="8" t="s">
        <v>66</v>
      </c>
      <c r="H34" t="s">
        <v>51</v>
      </c>
      <c r="I34">
        <v>45</v>
      </c>
      <c r="K34">
        <v>0</v>
      </c>
      <c r="L34">
        <v>1</v>
      </c>
      <c r="M34" t="s">
        <v>67</v>
      </c>
    </row>
    <row r="35" spans="1:21" x14ac:dyDescent="0.25">
      <c r="B35" t="s">
        <v>100</v>
      </c>
      <c r="C35" t="s">
        <v>58</v>
      </c>
      <c r="D35" t="s">
        <v>59</v>
      </c>
      <c r="E35" t="s">
        <v>48</v>
      </c>
      <c r="F35" t="s">
        <v>49</v>
      </c>
      <c r="G35" s="8" t="s">
        <v>72</v>
      </c>
      <c r="H35" t="s">
        <v>51</v>
      </c>
      <c r="I35">
        <v>53</v>
      </c>
      <c r="K35">
        <v>1</v>
      </c>
      <c r="L35">
        <v>0</v>
      </c>
      <c r="M35" t="s">
        <v>71</v>
      </c>
    </row>
    <row r="38" spans="1:21" ht="18" thickBot="1" x14ac:dyDescent="0.35">
      <c r="A38" s="12" t="s">
        <v>91</v>
      </c>
    </row>
    <row r="39" spans="1:21" ht="15.75" thickTop="1" x14ac:dyDescent="0.25"/>
    <row r="40" spans="1:21" x14ac:dyDescent="0.25">
      <c r="C40" s="15"/>
      <c r="D40" s="61" t="s">
        <v>93</v>
      </c>
      <c r="E40" s="61"/>
      <c r="F40" s="61"/>
      <c r="G40" s="61"/>
      <c r="H40" s="61"/>
      <c r="I40" s="61"/>
      <c r="J40" s="61" t="s">
        <v>92</v>
      </c>
      <c r="K40" s="61"/>
      <c r="L40" s="61"/>
      <c r="M40" s="61"/>
      <c r="N40" s="61"/>
    </row>
    <row r="41" spans="1:21" ht="30" x14ac:dyDescent="0.25">
      <c r="D41" s="15" t="s">
        <v>88</v>
      </c>
      <c r="E41" s="1" t="s">
        <v>117</v>
      </c>
      <c r="F41" s="1" t="s">
        <v>116</v>
      </c>
      <c r="G41" s="1" t="s">
        <v>115</v>
      </c>
      <c r="H41" s="1" t="s">
        <v>118</v>
      </c>
      <c r="I41" s="1" t="s">
        <v>119</v>
      </c>
      <c r="J41" s="1" t="s">
        <v>120</v>
      </c>
      <c r="K41" s="1" t="s">
        <v>121</v>
      </c>
      <c r="L41" s="1" t="s">
        <v>122</v>
      </c>
      <c r="M41" s="1" t="s">
        <v>123</v>
      </c>
      <c r="N41" s="1" t="s">
        <v>124</v>
      </c>
      <c r="O41" s="1" t="s">
        <v>125</v>
      </c>
    </row>
    <row r="42" spans="1:21" x14ac:dyDescent="0.25">
      <c r="A42" s="62" t="s">
        <v>104</v>
      </c>
      <c r="B42" s="20" t="s">
        <v>85</v>
      </c>
      <c r="C42" s="20"/>
      <c r="D42" s="21">
        <f>SUM(E42:O42)</f>
        <v>20796420.796399999</v>
      </c>
      <c r="E42" s="21">
        <f t="shared" ref="E42:J42" si="0">C13</f>
        <v>14817.435000000001</v>
      </c>
      <c r="F42" s="21">
        <f t="shared" si="0"/>
        <v>43360.493999999999</v>
      </c>
      <c r="G42" s="21">
        <f t="shared" si="0"/>
        <v>175282.45740000001</v>
      </c>
      <c r="H42" s="21">
        <f t="shared" si="0"/>
        <v>708356.57860000001</v>
      </c>
      <c r="I42" s="21">
        <f t="shared" si="0"/>
        <v>2895888.3018</v>
      </c>
      <c r="J42" s="21">
        <f t="shared" si="0"/>
        <v>6560515.5296</v>
      </c>
      <c r="K42" s="21">
        <f>Frontend!C15</f>
        <v>3762100</v>
      </c>
      <c r="L42" s="21">
        <f>Frontend!D15</f>
        <v>3050900</v>
      </c>
      <c r="M42" s="21">
        <f>Frontend!E15</f>
        <v>2479000</v>
      </c>
      <c r="N42" s="21">
        <f>Frontend!F15</f>
        <v>1006400</v>
      </c>
      <c r="O42" s="21">
        <f>Frontend!G15</f>
        <v>99800</v>
      </c>
      <c r="Q42" s="8"/>
      <c r="R42" s="8"/>
      <c r="S42" s="8"/>
      <c r="T42" s="8"/>
      <c r="U42" s="8"/>
    </row>
    <row r="43" spans="1:21" x14ac:dyDescent="0.25">
      <c r="A43" s="64"/>
      <c r="B43" s="15" t="s">
        <v>110</v>
      </c>
      <c r="C43" s="15"/>
      <c r="D43" s="15"/>
      <c r="E43" s="15">
        <v>27</v>
      </c>
      <c r="F43" s="15">
        <v>32</v>
      </c>
      <c r="G43" s="15">
        <v>37</v>
      </c>
      <c r="H43" s="15">
        <v>42</v>
      </c>
      <c r="I43" s="15">
        <v>47</v>
      </c>
      <c r="J43" s="15">
        <v>52</v>
      </c>
      <c r="K43" s="15">
        <v>57</v>
      </c>
      <c r="L43" s="15">
        <v>62</v>
      </c>
      <c r="M43" s="15">
        <v>67</v>
      </c>
      <c r="N43" s="15">
        <v>72</v>
      </c>
      <c r="O43" s="16">
        <v>77</v>
      </c>
    </row>
    <row r="44" spans="1:21" x14ac:dyDescent="0.25">
      <c r="A44" s="63"/>
      <c r="B44" s="16" t="s">
        <v>111</v>
      </c>
      <c r="C44" s="15"/>
      <c r="D44" s="15"/>
      <c r="E44" s="15">
        <f t="shared" ref="E44:O44" si="1">E42/$D$42</f>
        <v>7.1249928750071259E-4</v>
      </c>
      <c r="F44" s="15">
        <f t="shared" si="1"/>
        <v>2.0849979150020848E-3</v>
      </c>
      <c r="G44" s="15">
        <f t="shared" si="1"/>
        <v>8.4284915715084289E-3</v>
      </c>
      <c r="H44" s="15">
        <f t="shared" si="1"/>
        <v>3.4061465938534062E-2</v>
      </c>
      <c r="I44" s="15">
        <f t="shared" si="1"/>
        <v>0.13924936075063926</v>
      </c>
      <c r="J44" s="15">
        <f t="shared" si="1"/>
        <v>0.31546368453631546</v>
      </c>
      <c r="K44" s="15">
        <f t="shared" si="1"/>
        <v>0.18090132128174888</v>
      </c>
      <c r="L44" s="15">
        <f t="shared" si="1"/>
        <v>0.14670312886379619</v>
      </c>
      <c r="M44" s="15">
        <f t="shared" si="1"/>
        <v>0.11920320444896612</v>
      </c>
      <c r="N44" s="15">
        <f t="shared" si="1"/>
        <v>4.8392942701669828E-2</v>
      </c>
      <c r="O44" s="15">
        <f t="shared" si="1"/>
        <v>4.7989027043190075E-3</v>
      </c>
    </row>
    <row r="45" spans="1:21" s="20" customFormat="1" x14ac:dyDescent="0.25">
      <c r="A45" s="27" t="s">
        <v>105</v>
      </c>
      <c r="C45" s="20" t="s">
        <v>102</v>
      </c>
      <c r="D45" s="20" t="s">
        <v>103</v>
      </c>
    </row>
    <row r="46" spans="1:21" x14ac:dyDescent="0.25">
      <c r="A46" s="62" t="s">
        <v>57</v>
      </c>
      <c r="B46" s="19" t="s">
        <v>112</v>
      </c>
      <c r="C46" s="19"/>
      <c r="D46" s="20"/>
      <c r="E46" s="20">
        <f>IF(E43&gt;$I$32, EXP((LN(1.055)/10)*(E43-$I$32)),1)</f>
        <v>1</v>
      </c>
      <c r="F46" s="20">
        <f t="shared" ref="F46:O46" si="2">IF(F43&gt;$I$32, EXP((LN(1.055)/10)*(F43-$I$32)),1)</f>
        <v>1</v>
      </c>
      <c r="G46" s="20">
        <f t="shared" si="2"/>
        <v>1</v>
      </c>
      <c r="H46" s="20">
        <f t="shared" si="2"/>
        <v>1</v>
      </c>
      <c r="I46" s="20">
        <f t="shared" si="2"/>
        <v>1.0107656908500073</v>
      </c>
      <c r="J46" s="20">
        <f t="shared" si="2"/>
        <v>1.0381897140207395</v>
      </c>
      <c r="K46" s="20">
        <f t="shared" si="2"/>
        <v>1.0663578038467578</v>
      </c>
      <c r="L46" s="20">
        <f t="shared" si="2"/>
        <v>1.09529014829188</v>
      </c>
      <c r="M46" s="20">
        <f t="shared" si="2"/>
        <v>1.1250074830583294</v>
      </c>
      <c r="N46" s="20">
        <f t="shared" si="2"/>
        <v>1.1555311064479334</v>
      </c>
      <c r="O46" s="20">
        <f t="shared" si="2"/>
        <v>1.1868828946265373</v>
      </c>
    </row>
    <row r="47" spans="1:21" x14ac:dyDescent="0.25">
      <c r="A47" s="64"/>
      <c r="B47" s="15" t="s">
        <v>89</v>
      </c>
      <c r="C47" s="42">
        <f>SUM(K47:O47)</f>
        <v>4.9308310609276644E-2</v>
      </c>
      <c r="D47" s="15">
        <f>SUM(E47:O47)</f>
        <v>6.2854894074549819E-2</v>
      </c>
      <c r="E47" s="24">
        <f>E44*(E46-1)</f>
        <v>0</v>
      </c>
      <c r="F47" s="24">
        <f t="shared" ref="F47:O47" si="3">F44*(F46-1)</f>
        <v>0</v>
      </c>
      <c r="G47" s="24">
        <f t="shared" si="3"/>
        <v>0</v>
      </c>
      <c r="H47" s="24">
        <f t="shared" si="3"/>
        <v>0</v>
      </c>
      <c r="I47" s="24">
        <f t="shared" si="3"/>
        <v>1.4991155689025278E-3</v>
      </c>
      <c r="J47" s="24">
        <f t="shared" si="3"/>
        <v>1.2047467896370654E-2</v>
      </c>
      <c r="K47" s="24">
        <f t="shared" si="3"/>
        <v>1.2004214393233608E-2</v>
      </c>
      <c r="L47" s="24">
        <f t="shared" si="3"/>
        <v>1.3979362904313918E-2</v>
      </c>
      <c r="M47" s="24">
        <f t="shared" si="3"/>
        <v>1.4901292560652712E-2</v>
      </c>
      <c r="N47" s="24">
        <f t="shared" si="3"/>
        <v>7.5266079226621535E-3</v>
      </c>
      <c r="O47" s="24">
        <f t="shared" si="3"/>
        <v>8.9683282841425394E-4</v>
      </c>
    </row>
    <row r="48" spans="1:21" x14ac:dyDescent="0.25">
      <c r="A48" s="64"/>
      <c r="B48" s="15" t="s">
        <v>113</v>
      </c>
      <c r="C48" s="42">
        <f>(C47)/(1+C47)</f>
        <v>4.6991251389828383E-2</v>
      </c>
      <c r="D48" s="17">
        <f>(D47)/(1+D47)</f>
        <v>5.9137794279320602E-2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25">
      <c r="A49" s="63"/>
      <c r="B49" s="22" t="s">
        <v>90</v>
      </c>
      <c r="C49" s="43">
        <f>0.2069215*C48</f>
        <v>9.7235002244603734E-3</v>
      </c>
      <c r="D49" s="22">
        <f>0.2069215*D48</f>
        <v>1.2236881098968439E-2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x14ac:dyDescent="0.25">
      <c r="A50" s="62" t="s">
        <v>62</v>
      </c>
      <c r="B50" s="19" t="s">
        <v>112</v>
      </c>
      <c r="C50" s="19"/>
      <c r="D50" s="20"/>
      <c r="E50" s="20">
        <f>IF(E43&gt;$I$33, EXP((LN(1.032)/10)*(E43-$I$33)),1)</f>
        <v>1</v>
      </c>
      <c r="F50" s="20">
        <f t="shared" ref="F50:O50" si="4">IF(F43&gt;$I$33, EXP((LN(1.032)/10)*(F43-$I$33)),1)</f>
        <v>1</v>
      </c>
      <c r="G50" s="20">
        <f t="shared" si="4"/>
        <v>1</v>
      </c>
      <c r="H50" s="20">
        <f t="shared" si="4"/>
        <v>1</v>
      </c>
      <c r="I50" s="20">
        <f t="shared" si="4"/>
        <v>1.0063196184673233</v>
      </c>
      <c r="J50" s="20">
        <f t="shared" si="4"/>
        <v>1.0222939440770498</v>
      </c>
      <c r="K50" s="20">
        <f t="shared" si="4"/>
        <v>1.0385218462582777</v>
      </c>
      <c r="L50" s="20">
        <f t="shared" si="4"/>
        <v>1.0550073502875155</v>
      </c>
      <c r="M50" s="20">
        <f t="shared" si="4"/>
        <v>1.0717545453385426</v>
      </c>
      <c r="N50" s="20">
        <f t="shared" si="4"/>
        <v>1.088767585496716</v>
      </c>
      <c r="O50" s="20">
        <f t="shared" si="4"/>
        <v>1.1060506907893759</v>
      </c>
    </row>
    <row r="51" spans="1:15" x14ac:dyDescent="0.25">
      <c r="A51" s="64"/>
      <c r="B51" s="15" t="s">
        <v>89</v>
      </c>
      <c r="C51" s="42">
        <f>SUM(K51:O51)</f>
        <v>2.8396426647685286E-2</v>
      </c>
      <c r="D51" s="15">
        <f>SUM(E51:O51)</f>
        <v>3.6309359220840685E-2</v>
      </c>
      <c r="E51" s="15">
        <f>E44*(E50-1)</f>
        <v>0</v>
      </c>
      <c r="F51" s="15">
        <f t="shared" ref="F51:O51" si="5">F44*(F50-1)</f>
        <v>0</v>
      </c>
      <c r="G51" s="15">
        <f t="shared" si="5"/>
        <v>0</v>
      </c>
      <c r="H51" s="15">
        <f t="shared" si="5"/>
        <v>0</v>
      </c>
      <c r="I51" s="15">
        <f t="shared" si="5"/>
        <v>8.8000283176270673E-4</v>
      </c>
      <c r="J51" s="15">
        <f t="shared" si="5"/>
        <v>7.0329297413926854E-3</v>
      </c>
      <c r="K51" s="15">
        <f t="shared" si="5"/>
        <v>6.9686528863348307E-3</v>
      </c>
      <c r="L51" s="15">
        <f t="shared" si="5"/>
        <v>8.0697503976853574E-3</v>
      </c>
      <c r="M51" s="15">
        <f t="shared" si="5"/>
        <v>8.5533717381329078E-3</v>
      </c>
      <c r="N51" s="15">
        <f t="shared" si="5"/>
        <v>4.2957246787081573E-3</v>
      </c>
      <c r="O51" s="15">
        <f t="shared" si="5"/>
        <v>5.0892694682403491E-4</v>
      </c>
    </row>
    <row r="52" spans="1:15" x14ac:dyDescent="0.25">
      <c r="A52" s="64"/>
      <c r="B52" s="15" t="s">
        <v>113</v>
      </c>
      <c r="C52" s="42">
        <f>C51/(1+C51)</f>
        <v>2.7612335002223338E-2</v>
      </c>
      <c r="D52" s="15">
        <f>D51/(1+D51)</f>
        <v>3.503718160775874E-2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25">
      <c r="A53" s="63"/>
      <c r="B53" s="22" t="s">
        <v>137</v>
      </c>
      <c r="C53" s="43">
        <f>0.0115708*C52</f>
        <v>3.1949680584372579E-4</v>
      </c>
      <c r="D53" s="22">
        <f>0.0115708*D52</f>
        <v>4.0540822094705482E-4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x14ac:dyDescent="0.25">
      <c r="A54" s="62" t="s">
        <v>65</v>
      </c>
      <c r="B54" s="19" t="s">
        <v>112</v>
      </c>
      <c r="C54" s="19"/>
      <c r="D54" s="20"/>
      <c r="E54" s="20">
        <f>IF(E43&gt;$I$34, EXP((LN(1.062)/10)*(E43-$I$34)),1)</f>
        <v>1</v>
      </c>
      <c r="F54" s="20">
        <f t="shared" ref="F54:O54" si="6">IF(F43&gt;$I$34, EXP((LN(1.062)/10)*(F43-$I$34)),1)</f>
        <v>1</v>
      </c>
      <c r="G54" s="20">
        <f t="shared" si="6"/>
        <v>1</v>
      </c>
      <c r="H54" s="20">
        <f t="shared" si="6"/>
        <v>1</v>
      </c>
      <c r="I54" s="20">
        <f t="shared" si="6"/>
        <v>1.0121034455497457</v>
      </c>
      <c r="J54" s="20">
        <f t="shared" si="6"/>
        <v>1.043006852485771</v>
      </c>
      <c r="K54" s="20">
        <f t="shared" si="6"/>
        <v>1.0748538591738301</v>
      </c>
      <c r="L54" s="20">
        <f t="shared" si="6"/>
        <v>1.1076732773398887</v>
      </c>
      <c r="M54" s="20">
        <f t="shared" si="6"/>
        <v>1.1414947984426076</v>
      </c>
      <c r="N54" s="20">
        <f t="shared" si="6"/>
        <v>1.1763490205349618</v>
      </c>
      <c r="O54" s="20">
        <f t="shared" si="6"/>
        <v>1.2122674759460494</v>
      </c>
    </row>
    <row r="55" spans="1:15" x14ac:dyDescent="0.25">
      <c r="A55" s="64"/>
      <c r="B55" s="15" t="s">
        <v>89</v>
      </c>
      <c r="C55" s="42">
        <f>SUM(K55:O55)</f>
        <v>5.5756501106184665E-2</v>
      </c>
      <c r="D55" s="15">
        <f>SUM(E55:O55)</f>
        <v>7.1008998307338034E-2</v>
      </c>
      <c r="E55" s="15">
        <f>E44*(E54-1)</f>
        <v>0</v>
      </c>
      <c r="F55" s="15">
        <f t="shared" ref="F55:O55" si="7">F44*(F54-1)</f>
        <v>0</v>
      </c>
      <c r="G55" s="15">
        <f t="shared" si="7"/>
        <v>0</v>
      </c>
      <c r="H55" s="15">
        <f t="shared" si="7"/>
        <v>0</v>
      </c>
      <c r="I55" s="15">
        <f t="shared" si="7"/>
        <v>1.6853970556822639E-3</v>
      </c>
      <c r="J55" s="15">
        <f t="shared" si="7"/>
        <v>1.3567100145471106E-2</v>
      </c>
      <c r="K55" s="15">
        <f t="shared" si="7"/>
        <v>1.3541162027583832E-2</v>
      </c>
      <c r="L55" s="15">
        <f t="shared" si="7"/>
        <v>1.5796006680780964E-2</v>
      </c>
      <c r="M55" s="15">
        <f t="shared" si="7"/>
        <v>1.6866633387219405E-2</v>
      </c>
      <c r="N55" s="15">
        <f t="shared" si="7"/>
        <v>8.5340480462440024E-3</v>
      </c>
      <c r="O55" s="15">
        <f t="shared" si="7"/>
        <v>1.0186509643564665E-3</v>
      </c>
    </row>
    <row r="56" spans="1:15" x14ac:dyDescent="0.25">
      <c r="A56" s="64"/>
      <c r="B56" s="15" t="s">
        <v>113</v>
      </c>
      <c r="C56" s="42">
        <f>C55/(1+C55)</f>
        <v>5.2811894644044302E-2</v>
      </c>
      <c r="D56" s="15">
        <f>D55/(1+D55)</f>
        <v>6.6301028674421281E-2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25">
      <c r="A57" s="63"/>
      <c r="B57" s="22" t="s">
        <v>138</v>
      </c>
      <c r="C57" s="43">
        <f>0.0059261*C56</f>
        <v>3.1296856885007095E-4</v>
      </c>
      <c r="D57" s="22">
        <f>0.0059261*D56</f>
        <v>3.9290652602748795E-4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x14ac:dyDescent="0.25">
      <c r="A58" s="62" t="s">
        <v>69</v>
      </c>
      <c r="B58" s="19" t="s">
        <v>112</v>
      </c>
      <c r="C58" s="19"/>
      <c r="D58" s="20"/>
      <c r="E58" s="20">
        <f>IF(E43&gt;$I$35, EXP((LN(1.08)/10)*(E43-$I$35)),1)</f>
        <v>1</v>
      </c>
      <c r="F58" s="20">
        <f t="shared" ref="F58:O58" si="8">IF(F43&gt;$I$35, EXP((LN(1.08)/10)*(F43-$I$35)),1)</f>
        <v>1</v>
      </c>
      <c r="G58" s="20">
        <f t="shared" si="8"/>
        <v>1</v>
      </c>
      <c r="H58" s="20">
        <f t="shared" si="8"/>
        <v>1</v>
      </c>
      <c r="I58" s="20">
        <f t="shared" si="8"/>
        <v>1</v>
      </c>
      <c r="J58" s="20">
        <f t="shared" si="8"/>
        <v>1</v>
      </c>
      <c r="K58" s="20">
        <f t="shared" si="8"/>
        <v>1.0312631565524872</v>
      </c>
      <c r="L58" s="20">
        <f t="shared" si="8"/>
        <v>1.0717201098736591</v>
      </c>
      <c r="M58" s="20">
        <f t="shared" si="8"/>
        <v>1.1137642090766864</v>
      </c>
      <c r="N58" s="20">
        <f t="shared" si="8"/>
        <v>1.157457718663552</v>
      </c>
      <c r="O58" s="20">
        <f t="shared" si="8"/>
        <v>1.2028653458028213</v>
      </c>
    </row>
    <row r="59" spans="1:15" x14ac:dyDescent="0.25">
      <c r="A59" s="64"/>
      <c r="B59" s="15" t="s">
        <v>89</v>
      </c>
      <c r="C59" s="15">
        <f>SUM(K59:O59)</f>
        <v>3.8331542536053996E-2</v>
      </c>
      <c r="D59" s="42">
        <f>SUM(E59:O59)</f>
        <v>3.8331542536053996E-2</v>
      </c>
      <c r="E59" s="15">
        <f>E44*(E58-1)</f>
        <v>0</v>
      </c>
      <c r="F59" s="15">
        <f t="shared" ref="F59:O59" si="9">F44*(F58-1)</f>
        <v>0</v>
      </c>
      <c r="G59" s="15">
        <f t="shared" si="9"/>
        <v>0</v>
      </c>
      <c r="H59" s="15">
        <f t="shared" si="9"/>
        <v>0</v>
      </c>
      <c r="I59" s="15">
        <f t="shared" si="9"/>
        <v>0</v>
      </c>
      <c r="J59" s="15">
        <f t="shared" si="9"/>
        <v>0</v>
      </c>
      <c r="K59" s="15">
        <f t="shared" si="9"/>
        <v>5.6555463277831062E-3</v>
      </c>
      <c r="L59" s="15">
        <f t="shared" si="9"/>
        <v>1.0521564520921027E-2</v>
      </c>
      <c r="M59" s="15">
        <f t="shared" si="9"/>
        <v>1.3561058273543175E-2</v>
      </c>
      <c r="N59" s="15">
        <f t="shared" si="9"/>
        <v>7.6198423572209177E-3</v>
      </c>
      <c r="O59" s="15">
        <f t="shared" si="9"/>
        <v>9.7353105658576995E-4</v>
      </c>
    </row>
    <row r="60" spans="1:15" x14ac:dyDescent="0.25">
      <c r="A60" s="64"/>
      <c r="B60" s="15" t="s">
        <v>113</v>
      </c>
      <c r="C60" s="15">
        <f>C59/(1+C59)</f>
        <v>3.69164770266266E-2</v>
      </c>
      <c r="D60" s="42">
        <f>D59/(1+D59)</f>
        <v>3.69164770266266E-2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5">
      <c r="A61" s="63"/>
      <c r="B61" s="22" t="s">
        <v>139</v>
      </c>
      <c r="C61" s="22">
        <f>0.00127695*C60</f>
        <v>4.714049533915084E-5</v>
      </c>
      <c r="D61" s="43">
        <f>0.00127695*D60</f>
        <v>4.714049533915084E-5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x14ac:dyDescent="0.25">
      <c r="A62" s="62" t="s">
        <v>45</v>
      </c>
      <c r="B62" s="4" t="s">
        <v>109</v>
      </c>
      <c r="E62" s="21">
        <f>IF(E43&gt;$I$30,((78.927 - 3.1162 * E43 + 0.0342 * E43^2)/100),0)</f>
        <v>0</v>
      </c>
      <c r="F62" s="21">
        <f t="shared" ref="F62:O62" si="10">IF(F43&gt;$I$30,((78.927 - 3.1162 * F43 + 0.0342 * F43^2)/100),0)</f>
        <v>0</v>
      </c>
      <c r="G62" s="21">
        <f t="shared" si="10"/>
        <v>0</v>
      </c>
      <c r="H62" s="21">
        <f t="shared" si="10"/>
        <v>0</v>
      </c>
      <c r="I62" s="21">
        <f t="shared" si="10"/>
        <v>8.0134000000000191E-2</v>
      </c>
      <c r="J62" s="21">
        <f t="shared" si="10"/>
        <v>9.3613999999999892E-2</v>
      </c>
      <c r="K62" s="21">
        <f t="shared" si="10"/>
        <v>0.1241940000000001</v>
      </c>
      <c r="L62" s="21">
        <f t="shared" si="10"/>
        <v>0.17187400000000011</v>
      </c>
      <c r="M62" s="21">
        <f t="shared" si="10"/>
        <v>0.23665399999999978</v>
      </c>
      <c r="N62" s="21">
        <f t="shared" si="10"/>
        <v>0.31853400000000021</v>
      </c>
      <c r="O62" s="21">
        <f t="shared" si="10"/>
        <v>0.41751400000000016</v>
      </c>
    </row>
    <row r="63" spans="1:15" x14ac:dyDescent="0.25">
      <c r="A63" s="58"/>
      <c r="B63" s="34" t="s">
        <v>114</v>
      </c>
      <c r="E63">
        <f>$E$44*E62</f>
        <v>0</v>
      </c>
      <c r="F63">
        <f t="shared" ref="F63:O63" si="11">$E$44*F62</f>
        <v>0</v>
      </c>
      <c r="G63">
        <f t="shared" si="11"/>
        <v>0</v>
      </c>
      <c r="H63">
        <f t="shared" si="11"/>
        <v>0</v>
      </c>
      <c r="I63">
        <f t="shared" si="11"/>
        <v>5.7095417904582238E-5</v>
      </c>
      <c r="J63">
        <f t="shared" si="11"/>
        <v>6.6699908300091627E-5</v>
      </c>
      <c r="K63">
        <f t="shared" si="11"/>
        <v>8.8488136511863564E-5</v>
      </c>
      <c r="L63">
        <f t="shared" si="11"/>
        <v>1.2246010253989754E-4</v>
      </c>
      <c r="M63">
        <f t="shared" si="11"/>
        <v>1.6861580638419349E-4</v>
      </c>
      <c r="N63">
        <f t="shared" si="11"/>
        <v>2.2695524804475212E-4</v>
      </c>
      <c r="O63">
        <f t="shared" si="11"/>
        <v>2.9747842752157261E-4</v>
      </c>
    </row>
    <row r="64" spans="1:15" x14ac:dyDescent="0.25">
      <c r="A64" s="58"/>
      <c r="B64" s="15" t="s">
        <v>113</v>
      </c>
      <c r="C64">
        <f>SUM(K63:O63)</f>
        <v>9.0399772100227928E-4</v>
      </c>
      <c r="D64">
        <f>SUM(E63:O63)</f>
        <v>1.0277930472069531E-3</v>
      </c>
      <c r="E64" s="23"/>
    </row>
    <row r="65" spans="1:15" x14ac:dyDescent="0.25">
      <c r="A65" s="63"/>
      <c r="B65" s="47" t="s">
        <v>96</v>
      </c>
      <c r="C65" s="36">
        <f>C64*$J$30*69411087</f>
        <v>690.22210906320026</v>
      </c>
      <c r="D65" s="36">
        <f>D64*$J$30*69411087</f>
        <v>784.74255879444627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x14ac:dyDescent="0.25">
      <c r="A66" s="26"/>
      <c r="B66" s="28"/>
      <c r="C66" s="28"/>
      <c r="D66" s="28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5">
      <c r="A67" s="26"/>
      <c r="B67" s="28"/>
      <c r="C67" s="28"/>
      <c r="D67" s="28"/>
      <c r="E67" s="29" t="s">
        <v>94</v>
      </c>
      <c r="F67" s="29"/>
      <c r="G67" s="29"/>
      <c r="H67" s="29"/>
      <c r="I67" s="29"/>
      <c r="J67" s="29" t="s">
        <v>95</v>
      </c>
      <c r="L67" s="29"/>
      <c r="M67" s="29"/>
      <c r="N67" s="29"/>
      <c r="O67" s="29"/>
    </row>
    <row r="68" spans="1:15" ht="30" x14ac:dyDescent="0.25">
      <c r="A68" s="26"/>
      <c r="B68" s="28"/>
      <c r="C68" s="28"/>
      <c r="D68" s="30" t="s">
        <v>88</v>
      </c>
      <c r="E68" s="1" t="s">
        <v>117</v>
      </c>
      <c r="F68" s="1" t="s">
        <v>116</v>
      </c>
      <c r="G68" s="1" t="s">
        <v>115</v>
      </c>
      <c r="H68" s="1" t="s">
        <v>118</v>
      </c>
      <c r="I68" s="1" t="s">
        <v>119</v>
      </c>
      <c r="J68" s="1" t="s">
        <v>126</v>
      </c>
      <c r="K68" s="1" t="s">
        <v>127</v>
      </c>
      <c r="L68" s="1" t="s">
        <v>128</v>
      </c>
      <c r="M68" s="1" t="s">
        <v>129</v>
      </c>
      <c r="N68" s="1" t="s">
        <v>130</v>
      </c>
      <c r="O68" s="15"/>
    </row>
    <row r="69" spans="1:15" x14ac:dyDescent="0.25">
      <c r="A69" s="62" t="s">
        <v>104</v>
      </c>
      <c r="B69" s="20" t="s">
        <v>85</v>
      </c>
      <c r="C69" s="20"/>
      <c r="D69" s="37">
        <f>SUM(E69:N69)</f>
        <v>15021000</v>
      </c>
      <c r="E69" s="33">
        <f>C14</f>
        <v>64582.789500000006</v>
      </c>
      <c r="F69" s="33">
        <f>D14</f>
        <v>239111.78849999997</v>
      </c>
      <c r="G69" s="33">
        <f>E14</f>
        <v>1126116.8595</v>
      </c>
      <c r="H69" s="33">
        <f>F14</f>
        <v>2838600.9855</v>
      </c>
      <c r="I69" s="33">
        <f>G14</f>
        <v>3242087.577</v>
      </c>
      <c r="J69" s="33">
        <f>Frontend!J15</f>
        <v>3383500</v>
      </c>
      <c r="K69" s="33">
        <f>Frontend!K15</f>
        <v>2682400</v>
      </c>
      <c r="L69" s="33">
        <f>Frontend!L15</f>
        <v>1283500</v>
      </c>
      <c r="M69" s="33">
        <f>Frontend!M15</f>
        <v>156200</v>
      </c>
      <c r="N69" s="33">
        <f>Frontend!N15</f>
        <v>4900</v>
      </c>
      <c r="O69" s="15"/>
    </row>
    <row r="70" spans="1:15" x14ac:dyDescent="0.25">
      <c r="A70" s="64"/>
      <c r="B70" s="15" t="s">
        <v>110</v>
      </c>
      <c r="C70" s="15"/>
      <c r="D70" s="15"/>
      <c r="E70" s="15">
        <v>27</v>
      </c>
      <c r="F70" s="15">
        <v>32</v>
      </c>
      <c r="G70" s="15">
        <v>37</v>
      </c>
      <c r="H70" s="15">
        <v>42</v>
      </c>
      <c r="I70" s="15">
        <v>47</v>
      </c>
      <c r="J70" s="15">
        <v>52</v>
      </c>
      <c r="K70" s="15">
        <v>57</v>
      </c>
      <c r="L70" s="15">
        <v>62</v>
      </c>
      <c r="M70" s="15">
        <v>67</v>
      </c>
      <c r="N70" s="16">
        <v>72</v>
      </c>
      <c r="O70" s="15"/>
    </row>
    <row r="71" spans="1:15" x14ac:dyDescent="0.25">
      <c r="A71" s="63"/>
      <c r="B71" s="16" t="s">
        <v>111</v>
      </c>
      <c r="C71" s="18"/>
      <c r="D71" s="31"/>
      <c r="E71" s="32">
        <f>E69/$D$69</f>
        <v>4.2995000000000004E-3</v>
      </c>
      <c r="F71" s="32">
        <f t="shared" ref="F71:N71" si="12">F69/$D$69</f>
        <v>1.5918499999999999E-2</v>
      </c>
      <c r="G71" s="32">
        <f t="shared" si="12"/>
        <v>7.4969499999999994E-2</v>
      </c>
      <c r="H71" s="32">
        <f t="shared" si="12"/>
        <v>0.18897549999999999</v>
      </c>
      <c r="I71" s="32">
        <f t="shared" si="12"/>
        <v>0.215837</v>
      </c>
      <c r="J71" s="32">
        <f t="shared" si="12"/>
        <v>0.2252513148259104</v>
      </c>
      <c r="K71" s="32">
        <f t="shared" si="12"/>
        <v>0.17857665934358566</v>
      </c>
      <c r="L71" s="32">
        <f t="shared" si="12"/>
        <v>8.5447040809533317E-2</v>
      </c>
      <c r="M71" s="32">
        <f t="shared" si="12"/>
        <v>1.0398775048265762E-2</v>
      </c>
      <c r="N71" s="32">
        <f t="shared" si="12"/>
        <v>3.2620997270487985E-4</v>
      </c>
      <c r="O71" s="15"/>
    </row>
    <row r="72" spans="1:15" x14ac:dyDescent="0.25">
      <c r="A72" s="39" t="s">
        <v>105</v>
      </c>
      <c r="B72" s="40"/>
      <c r="C72" s="40" t="s">
        <v>102</v>
      </c>
      <c r="D72" s="40" t="s">
        <v>103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15"/>
    </row>
    <row r="73" spans="1:15" s="34" customFormat="1" x14ac:dyDescent="0.25">
      <c r="A73" s="59" t="s">
        <v>53</v>
      </c>
      <c r="B73" s="4" t="s">
        <v>109</v>
      </c>
      <c r="E73" s="34">
        <f>IF(E70&gt;$I$31,((19.4312 - 0.9336 *  E70 + 0.0126 *  E70^2)/100),0)</f>
        <v>0</v>
      </c>
      <c r="F73" s="34">
        <f t="shared" ref="F73:N73" si="13">IF(F70&gt;$I$31,((19.4312 - 0.9336 *  F70 + 0.0126 *  F70^2)/100),0)</f>
        <v>0</v>
      </c>
      <c r="G73" s="34">
        <f t="shared" si="13"/>
        <v>0</v>
      </c>
      <c r="H73" s="34">
        <f t="shared" si="13"/>
        <v>2.4464000000000041E-2</v>
      </c>
      <c r="I73" s="34">
        <f t="shared" si="13"/>
        <v>3.3854000000000044E-2</v>
      </c>
      <c r="J73" s="34">
        <f t="shared" si="13"/>
        <v>4.9544000000000032E-2</v>
      </c>
      <c r="K73" s="34">
        <f t="shared" si="13"/>
        <v>7.1534000000000125E-2</v>
      </c>
      <c r="L73" s="34">
        <f t="shared" si="13"/>
        <v>9.9824000000000052E-2</v>
      </c>
      <c r="M73" s="34">
        <f t="shared" si="13"/>
        <v>0.13441399999999995</v>
      </c>
      <c r="N73" s="34">
        <f t="shared" si="13"/>
        <v>0.17530400000000002</v>
      </c>
    </row>
    <row r="74" spans="1:15" s="34" customFormat="1" x14ac:dyDescent="0.25">
      <c r="A74" s="59"/>
      <c r="B74" s="34" t="s">
        <v>114</v>
      </c>
      <c r="E74" s="34">
        <f>E73*E71</f>
        <v>0</v>
      </c>
      <c r="F74" s="34">
        <f t="shared" ref="F74:N74" si="14">F73*F71</f>
        <v>0</v>
      </c>
      <c r="G74" s="34">
        <f t="shared" si="14"/>
        <v>0</v>
      </c>
      <c r="H74" s="34">
        <f t="shared" si="14"/>
        <v>4.6230966320000072E-3</v>
      </c>
      <c r="I74" s="34">
        <f t="shared" si="14"/>
        <v>7.3069457980000094E-3</v>
      </c>
      <c r="J74" s="34">
        <f t="shared" si="14"/>
        <v>1.1159851141734912E-2</v>
      </c>
      <c r="K74" s="34">
        <f t="shared" si="14"/>
        <v>1.2774302749484078E-2</v>
      </c>
      <c r="L74" s="34">
        <f t="shared" si="14"/>
        <v>8.5296654017708584E-3</v>
      </c>
      <c r="M74" s="34">
        <f t="shared" si="14"/>
        <v>1.3977409493375935E-3</v>
      </c>
      <c r="N74" s="34">
        <f t="shared" si="14"/>
        <v>5.718591305505626E-5</v>
      </c>
    </row>
    <row r="75" spans="1:15" s="34" customFormat="1" x14ac:dyDescent="0.25">
      <c r="A75" s="59"/>
      <c r="B75" s="15" t="s">
        <v>113</v>
      </c>
      <c r="C75" s="34">
        <f>SUM(J74:N74)</f>
        <v>3.3918746155382498E-2</v>
      </c>
      <c r="D75" s="34">
        <f>SUM(E74:N74)</f>
        <v>4.5848788585382522E-2</v>
      </c>
    </row>
    <row r="76" spans="1:15" s="34" customFormat="1" x14ac:dyDescent="0.25">
      <c r="A76" s="60"/>
      <c r="B76" s="47" t="s">
        <v>96</v>
      </c>
      <c r="C76" s="36">
        <f>C75*J31*69411087</f>
        <v>23543.370403221699</v>
      </c>
      <c r="D76" s="36">
        <f>D75*J31*69411087</f>
        <v>31824.142533445931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24"/>
    </row>
    <row r="79" spans="1:15" ht="18" thickBot="1" x14ac:dyDescent="0.35">
      <c r="A79" s="25" t="s">
        <v>106</v>
      </c>
    </row>
    <row r="80" spans="1:15" ht="15.75" thickTop="1" x14ac:dyDescent="0.25">
      <c r="C80" t="s">
        <v>102</v>
      </c>
      <c r="D80" t="s">
        <v>103</v>
      </c>
      <c r="E80" t="s">
        <v>108</v>
      </c>
    </row>
    <row r="81" spans="2:6" x14ac:dyDescent="0.25">
      <c r="B81" s="44" t="s">
        <v>101</v>
      </c>
      <c r="C81" s="48">
        <f>C61+C65+C76</f>
        <v>24233.592559425393</v>
      </c>
      <c r="D81" s="48">
        <f>D49+D53+D57+D65+D76</f>
        <v>32608.898127436223</v>
      </c>
      <c r="E81" s="45">
        <f>D81-C81</f>
        <v>8375.30556801083</v>
      </c>
    </row>
    <row r="82" spans="2:6" x14ac:dyDescent="0.25">
      <c r="B82" s="44" t="s">
        <v>107</v>
      </c>
      <c r="C82" s="49">
        <f>C81*70000</f>
        <v>1696351479.1597774</v>
      </c>
      <c r="D82" s="49">
        <f>D81*70000</f>
        <v>2282622868.9205356</v>
      </c>
      <c r="E82" s="46">
        <f>D82-C82</f>
        <v>586271389.76075816</v>
      </c>
      <c r="F82" t="s">
        <v>140</v>
      </c>
    </row>
  </sheetData>
  <mergeCells count="10">
    <mergeCell ref="A73:A76"/>
    <mergeCell ref="J40:N40"/>
    <mergeCell ref="A62:A65"/>
    <mergeCell ref="A46:A49"/>
    <mergeCell ref="A50:A53"/>
    <mergeCell ref="A54:A57"/>
    <mergeCell ref="A58:A61"/>
    <mergeCell ref="D40:I40"/>
    <mergeCell ref="A42:A44"/>
    <mergeCell ref="A69:A7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57BF-B5FC-49D0-8C1C-84AA1C3FC65A}">
  <dimension ref="A1:C5"/>
  <sheetViews>
    <sheetView workbookViewId="0">
      <selection activeCell="A6" sqref="A6"/>
    </sheetView>
  </sheetViews>
  <sheetFormatPr baseColWidth="10" defaultRowHeight="15" x14ac:dyDescent="0.25"/>
  <cols>
    <col min="2" max="2" width="64" bestFit="1" customWidth="1"/>
    <col min="3" max="3" width="63.85546875" bestFit="1" customWidth="1"/>
  </cols>
  <sheetData>
    <row r="1" spans="1:3" x14ac:dyDescent="0.25">
      <c r="A1" s="38" t="s">
        <v>135</v>
      </c>
      <c r="B1" t="s">
        <v>134</v>
      </c>
      <c r="C1" t="s">
        <v>133</v>
      </c>
    </row>
    <row r="2" spans="1:3" x14ac:dyDescent="0.25">
      <c r="A2" s="50">
        <v>1</v>
      </c>
      <c r="B2" s="53" t="s">
        <v>111</v>
      </c>
      <c r="C2" s="52" t="s">
        <v>131</v>
      </c>
    </row>
    <row r="3" spans="1:3" ht="45" x14ac:dyDescent="0.25">
      <c r="A3" s="50">
        <v>2</v>
      </c>
      <c r="B3" s="54" t="s">
        <v>109</v>
      </c>
      <c r="C3" s="51" t="s">
        <v>141</v>
      </c>
    </row>
    <row r="4" spans="1:3" x14ac:dyDescent="0.25">
      <c r="A4" s="50">
        <v>3</v>
      </c>
      <c r="B4" s="54" t="s">
        <v>132</v>
      </c>
      <c r="C4" s="52" t="s">
        <v>136</v>
      </c>
    </row>
    <row r="5" spans="1:3" x14ac:dyDescent="0.25">
      <c r="A5" s="50">
        <v>4</v>
      </c>
      <c r="B5" s="54" t="s">
        <v>142</v>
      </c>
      <c r="C5" t="s">
        <v>143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C717-7812-4473-9D8B-3495A5B0BB7F}">
  <dimension ref="A1"/>
  <sheetViews>
    <sheetView showGridLines="0" workbookViewId="0">
      <selection activeCell="M2" sqref="M2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0BE1-EB71-4657-B503-300F880C587F}">
  <dimension ref="A2:A3"/>
  <sheetViews>
    <sheetView workbookViewId="0">
      <selection activeCell="A7" sqref="A7"/>
    </sheetView>
  </sheetViews>
  <sheetFormatPr baseColWidth="10" defaultColWidth="11.7109375" defaultRowHeight="15" x14ac:dyDescent="0.25"/>
  <cols>
    <col min="3" max="3" width="15.7109375" bestFit="1" customWidth="1"/>
    <col min="4" max="4" width="15.5703125" customWidth="1"/>
    <col min="5" max="8" width="14.7109375" bestFit="1" customWidth="1"/>
    <col min="9" max="9" width="15.7109375" bestFit="1" customWidth="1"/>
  </cols>
  <sheetData>
    <row r="2" spans="1:1" ht="18" thickBot="1" x14ac:dyDescent="0.35">
      <c r="A2" s="12" t="s">
        <v>32</v>
      </c>
    </row>
    <row r="3" spans="1:1" ht="15.75" thickTop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A502-77FB-4AA9-A654-F467290EB112}">
  <sheetPr codeName="Tabelle2"/>
  <dimension ref="A1:G13"/>
  <sheetViews>
    <sheetView workbookViewId="0">
      <selection activeCell="C21" sqref="C21"/>
    </sheetView>
  </sheetViews>
  <sheetFormatPr baseColWidth="10" defaultColWidth="11.7109375" defaultRowHeight="15" x14ac:dyDescent="0.25"/>
  <sheetData>
    <row r="1" spans="1:7" x14ac:dyDescent="0.25">
      <c r="A1" t="s">
        <v>6</v>
      </c>
    </row>
    <row r="2" spans="1:7" ht="30" x14ac:dyDescent="0.25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 x14ac:dyDescent="0.25">
      <c r="A3" s="1" t="s">
        <v>0</v>
      </c>
      <c r="B3" s="3" t="s">
        <v>3</v>
      </c>
      <c r="C3" s="3" t="s">
        <v>3</v>
      </c>
      <c r="D3" s="5">
        <v>1.6889400000000001</v>
      </c>
      <c r="E3" s="5">
        <v>1.05637</v>
      </c>
      <c r="F3" s="5">
        <v>0.68267</v>
      </c>
      <c r="G3" s="5">
        <v>0.71070999999999995</v>
      </c>
    </row>
    <row r="4" spans="1:7" x14ac:dyDescent="0.25">
      <c r="A4" t="s">
        <v>2</v>
      </c>
      <c r="B4" s="5">
        <v>2.8892899999999999</v>
      </c>
      <c r="C4" s="5">
        <v>1.80714</v>
      </c>
      <c r="D4" s="5">
        <v>1.1678599999999999</v>
      </c>
      <c r="E4" s="5">
        <v>0.71070999999999995</v>
      </c>
      <c r="F4" s="5">
        <v>0.77215</v>
      </c>
      <c r="G4" s="3" t="s">
        <v>3</v>
      </c>
    </row>
    <row r="6" spans="1:7" x14ac:dyDescent="0.25">
      <c r="A6" t="s">
        <v>4</v>
      </c>
    </row>
    <row r="7" spans="1:7" ht="30" x14ac:dyDescent="0.25">
      <c r="A7" s="1" t="s">
        <v>7</v>
      </c>
      <c r="B7" s="4">
        <v>100</v>
      </c>
    </row>
    <row r="8" spans="1:7" ht="30" x14ac:dyDescent="0.25">
      <c r="A8" s="1" t="s">
        <v>8</v>
      </c>
      <c r="B8" s="4">
        <v>100</v>
      </c>
    </row>
    <row r="10" spans="1:7" x14ac:dyDescent="0.25">
      <c r="A10" t="s">
        <v>5</v>
      </c>
    </row>
    <row r="11" spans="1:7" ht="30" x14ac:dyDescent="0.25">
      <c r="A11" s="1" t="s">
        <v>1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</row>
    <row r="12" spans="1:7" x14ac:dyDescent="0.25">
      <c r="A12" s="1" t="s">
        <v>0</v>
      </c>
      <c r="B12" s="3" t="s">
        <v>3</v>
      </c>
      <c r="C12" s="3" t="s">
        <v>3</v>
      </c>
      <c r="D12" s="5">
        <f>D3*(B7+G12+F12+E12)</f>
        <v>999.74865087751198</v>
      </c>
      <c r="E12" s="5">
        <f>E3*(B7+G12+F12)</f>
        <v>304.08248452056091</v>
      </c>
      <c r="F12" s="5">
        <f>F3*(B7+G12)</f>
        <v>116.78503957</v>
      </c>
      <c r="G12" s="5">
        <f>G3*B7</f>
        <v>71.070999999999998</v>
      </c>
    </row>
    <row r="13" spans="1:7" x14ac:dyDescent="0.25">
      <c r="A13" t="s">
        <v>2</v>
      </c>
      <c r="B13" s="5">
        <f>B4*(B8+F13+E13+D13+C13)</f>
        <v>5330.4431069452057</v>
      </c>
      <c r="C13" s="5">
        <f>C4*(B8+F13+E13+D13)</f>
        <v>1187.6812604702</v>
      </c>
      <c r="D13" s="5">
        <f>D4*(B8+F13+E13)</f>
        <v>354.05249316902899</v>
      </c>
      <c r="E13" s="5">
        <f>E4*(B8+F13)</f>
        <v>125.94847265</v>
      </c>
      <c r="F13" s="5">
        <f>F4*B8</f>
        <v>77.215000000000003</v>
      </c>
      <c r="G13" s="3" t="s">
        <v>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2B11-F41E-4CFB-A90C-BC8CA1A15B8D}">
  <sheetPr codeName="Tabelle3"/>
  <dimension ref="A1"/>
  <sheetViews>
    <sheetView workbookViewId="0">
      <selection activeCell="D29" sqref="D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CEAF-BA8D-46A4-B41F-A105DC1BD636}">
  <sheetPr codeName="Tabelle4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0212-0B91-4E6B-BA83-4D03E3220F57}">
  <sheetPr codeName="Tabelle5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4C34-E246-472E-88D5-CA0D5063A3C9}">
  <sheetPr codeName="Tabelle6"/>
  <dimension ref="A1"/>
  <sheetViews>
    <sheetView workbookViewId="0">
      <selection activeCell="M42" sqref="M4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1C91-7A22-40CF-B195-068A9D60F08B}">
  <sheetPr codeName="Tabelle7"/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Frontend</vt:lpstr>
      <vt:lpstr>Agglomeration road</vt:lpstr>
      <vt:lpstr>Fragen</vt:lpstr>
      <vt:lpstr>ERF HRA</vt:lpstr>
      <vt:lpstr>5dB to 1dB refinement</vt:lpstr>
      <vt:lpstr>Agglomeration rail</vt:lpstr>
      <vt:lpstr>Agglomeration air</vt:lpstr>
      <vt:lpstr>Agglomeration industry</vt:lpstr>
      <vt:lpstr>Major roads </vt:lpstr>
      <vt:lpstr>Major railways </vt:lpstr>
      <vt:lpstr>Major airports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Walsch, Karl-Philipp</dc:creator>
  <cp:lastModifiedBy>Walsch, Karl-Philipp</cp:lastModifiedBy>
  <cp:lastPrinted>2026-02-11T06:52:18Z</cp:lastPrinted>
  <dcterms:created xsi:type="dcterms:W3CDTF">2015-06-05T18:19:34Z</dcterms:created>
  <dcterms:modified xsi:type="dcterms:W3CDTF">2026-03-11T14:40:23Z</dcterms:modified>
</cp:coreProperties>
</file>