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6" rupBuild="27932"/>
  <workbookPr dateCompatibility="0" codeName="DieseArbeitsmappe"/>
  <mc:AlternateContent xmlns:mc="http://schemas.openxmlformats.org/markup-compatibility/2006">
    <mc:Choice Requires="x15">
      <x15ac:absPath xmlns:x15ac="http://schemas.microsoft.com/office/spreadsheetml/2010/11/ac" url="C:\Dokumente_lokal\GitHub Repository\END2DALY\Lärmschadenstool_EXCEL\"/>
    </mc:Choice>
  </mc:AlternateContent>
  <xr:revisionPtr revIDLastSave="0" documentId="13_ncr:9_{AB833211-344A-486E-A156-EB0F2C039A91}" xr6:coauthVersionLast="47" xr6:coauthVersionMax="47" xr10:uidLastSave="{00000000-0000-0000-0000-000000000000}"/>
  <bookViews>
    <workbookView xWindow="28680" yWindow="-120" windowWidth="29040" windowHeight="17640" activeTab="5" xr2:uid="{00000000-000D-0000-FFFF-FFFF00000000}"/>
  </bookViews>
  <sheets>
    <sheet name="Hinweise" sheetId="12" r:id="rId1"/>
    <sheet name="Frontend" sheetId="8" r:id="rId2"/>
    <sheet name="Frontend DEMO DE" sheetId="13" r:id="rId3"/>
    <sheet name="Frontend DEMO ENG" sheetId="14" r:id="rId4"/>
    <sheet name="Agglomeration road" sheetId="1" r:id="rId5"/>
    <sheet name="Abb DALY agg road" sheetId="15" r:id="rId6"/>
    <sheet name="Fragen" sheetId="11" r:id="rId7"/>
    <sheet name="ERF HRA" sheetId="10" r:id="rId8"/>
    <sheet name="Agglomeration rail" sheetId="2" r:id="rId9"/>
    <sheet name="Agglomeration air" sheetId="3" r:id="rId10"/>
    <sheet name="Major roads " sheetId="5" r:id="rId11"/>
    <sheet name="Major railways " sheetId="6" r:id="rId12"/>
    <sheet name="Major airports" sheetId="7" r:id="rId13"/>
    <sheet name="5dB to 1dB refinement" sheetId="9" r:id="rId14"/>
  </sheet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purl.oclc.org/ooxml/spreadsheetml/main">
  <c r="D82" i="1" l="1"/>
  <c r="E82" i="1"/>
  <c r="F82" i="1"/>
  <c r="C82" i="1"/>
  <c r="F81" i="1"/>
  <c r="D81" i="1"/>
  <c r="E81" i="1"/>
  <c r="C81" i="1"/>
  <c r="P23" i="14"/>
  <c r="I23" i="14"/>
  <c r="P22" i="14"/>
  <c r="I22" i="14"/>
  <c r="P19" i="14"/>
  <c r="I19" i="14"/>
  <c r="P18" i="14"/>
  <c r="I18" i="14"/>
  <c r="P15" i="14"/>
  <c r="C31" i="14" s="1"/>
  <c r="I15" i="14"/>
  <c r="B31" i="14" s="1"/>
  <c r="P14" i="14"/>
  <c r="I14" i="14"/>
  <c r="G46" i="1"/>
  <c r="I46" i="1"/>
  <c r="P23" i="13"/>
  <c r="I23" i="13"/>
  <c r="P22" i="13"/>
  <c r="I22" i="13"/>
  <c r="P19" i="13"/>
  <c r="I19" i="13"/>
  <c r="P18" i="13"/>
  <c r="I18" i="13"/>
  <c r="P15" i="13"/>
  <c r="D35" i="13" s="1"/>
  <c r="I15" i="13"/>
  <c r="C35" i="13" s="1"/>
  <c r="P14" i="13"/>
  <c r="I14" i="13"/>
  <c r="I14" i="8"/>
  <c r="I15" i="8"/>
  <c r="C35" i="8" s="1"/>
  <c r="I18" i="8"/>
  <c r="I19" i="8"/>
  <c r="I22" i="8"/>
  <c r="I23" i="8"/>
  <c r="H62" i="1"/>
  <c r="I62" i="1"/>
  <c r="J62" i="1"/>
  <c r="K62" i="1"/>
  <c r="L62" i="1"/>
  <c r="M62" i="1"/>
  <c r="N62" i="1"/>
  <c r="O62" i="1"/>
  <c r="P62" i="1"/>
  <c r="Q62" i="1"/>
  <c r="G62" i="1"/>
  <c r="H72" i="1"/>
  <c r="I72" i="1"/>
  <c r="J72" i="1"/>
  <c r="K72" i="1"/>
  <c r="L72" i="1"/>
  <c r="M72" i="1"/>
  <c r="N72" i="1"/>
  <c r="O72" i="1"/>
  <c r="P72" i="1"/>
  <c r="G72" i="1"/>
  <c r="M68" i="1"/>
  <c r="N68" i="1"/>
  <c r="O68" i="1"/>
  <c r="P68" i="1"/>
  <c r="L68" i="1"/>
  <c r="H54" i="1"/>
  <c r="I54" i="1"/>
  <c r="J54" i="1"/>
  <c r="K54" i="1"/>
  <c r="L54" i="1"/>
  <c r="M54" i="1"/>
  <c r="N54" i="1"/>
  <c r="O54" i="1"/>
  <c r="P54" i="1"/>
  <c r="Q54" i="1"/>
  <c r="G54" i="1"/>
  <c r="H50" i="1"/>
  <c r="I50" i="1"/>
  <c r="J50" i="1"/>
  <c r="K50" i="1"/>
  <c r="L50" i="1"/>
  <c r="M50" i="1"/>
  <c r="N50" i="1"/>
  <c r="O50" i="1"/>
  <c r="P50" i="1"/>
  <c r="Q50" i="1"/>
  <c r="G50" i="1"/>
  <c r="H46" i="1"/>
  <c r="J46" i="1"/>
  <c r="K46" i="1"/>
  <c r="L46" i="1"/>
  <c r="M46" i="1"/>
  <c r="N46" i="1"/>
  <c r="O46" i="1"/>
  <c r="P46" i="1"/>
  <c r="Q46" i="1"/>
  <c r="H58" i="1"/>
  <c r="I58" i="1"/>
  <c r="J58" i="1"/>
  <c r="K58" i="1"/>
  <c r="L58" i="1"/>
  <c r="M58" i="1"/>
  <c r="N58" i="1"/>
  <c r="O58" i="1"/>
  <c r="P58" i="1"/>
  <c r="Q58" i="1"/>
  <c r="G58" i="1"/>
  <c r="N42" i="1"/>
  <c r="O42" i="1"/>
  <c r="P42" i="1"/>
  <c r="Q42" i="1"/>
  <c r="M42" i="1"/>
  <c r="P23" i="8"/>
  <c r="P22" i="8"/>
  <c r="P19" i="8"/>
  <c r="P18" i="8"/>
  <c r="P15" i="8"/>
  <c r="E14" i="1" s="1"/>
  <c r="I68" i="1" s="1"/>
  <c r="G13" i="1"/>
  <c r="K42" i="1" s="1"/>
  <c r="P14" i="8"/>
  <c r="D35" i="8" l="1"/>
  <c r="C14" i="1"/>
  <c r="G68" i="1" s="1"/>
  <c r="C13" i="1"/>
  <c r="G42" i="1" s="1"/>
  <c r="H13" i="1"/>
  <c r="L42" i="1" s="1"/>
  <c r="F13" i="1"/>
  <c r="J42" i="1" s="1"/>
  <c r="D13" i="1"/>
  <c r="H42" i="1" s="1"/>
  <c r="G14" i="1"/>
  <c r="K68" i="1" s="1"/>
  <c r="E13" i="1"/>
  <c r="I42" i="1" s="1"/>
  <c r="F14" i="1"/>
  <c r="J68" i="1" s="1"/>
  <c r="D14" i="1"/>
  <c r="H68" i="1" s="1"/>
  <c r="F13" i="2"/>
  <c r="G12" i="2"/>
  <c r="F42" i="1" l="1"/>
  <c r="G44" i="1" s="1"/>
  <c r="F68" i="1"/>
  <c r="G70" i="1" s="1"/>
  <c r="G73" i="1" s="1"/>
  <c r="I13" i="1"/>
  <c r="C18" i="1" s="1"/>
  <c r="B32" i="14" s="1"/>
  <c r="I14" i="1"/>
  <c r="E13" i="2"/>
  <c r="F12" i="2"/>
  <c r="E12" i="2"/>
  <c r="B13" i="2" l="1"/>
  <c r="C36" i="8"/>
  <c r="C36" i="13"/>
  <c r="D12" i="2"/>
  <c r="D13" i="2"/>
  <c r="C13" i="2" s="1"/>
  <c r="G63" i="1"/>
  <c r="J70" i="1"/>
  <c r="J73" i="1" s="1"/>
  <c r="L70" i="1"/>
  <c r="L73" i="1" s="1"/>
  <c r="O70" i="1"/>
  <c r="O73" i="1" s="1"/>
  <c r="M70" i="1"/>
  <c r="M73" i="1" s="1"/>
  <c r="N70" i="1"/>
  <c r="N73" i="1" s="1"/>
  <c r="P70" i="1"/>
  <c r="P73" i="1" s="1"/>
  <c r="H70" i="1"/>
  <c r="H73" i="1" s="1"/>
  <c r="E73" i="1" s="1"/>
  <c r="E74" i="1" s="1"/>
  <c r="I70" i="1"/>
  <c r="I73" i="1" s="1"/>
  <c r="K70" i="1"/>
  <c r="K73" i="1" s="1"/>
  <c r="G59" i="1"/>
  <c r="G51" i="1"/>
  <c r="G55" i="1"/>
  <c r="G47" i="1"/>
  <c r="P44" i="1"/>
  <c r="P63" i="1" s="1"/>
  <c r="N44" i="1"/>
  <c r="N63" i="1" s="1"/>
  <c r="M44" i="1"/>
  <c r="M63" i="1" s="1"/>
  <c r="K44" i="1"/>
  <c r="K63" i="1" s="1"/>
  <c r="Q44" i="1"/>
  <c r="Q63" i="1" s="1"/>
  <c r="O44" i="1"/>
  <c r="O63" i="1" s="1"/>
  <c r="J44" i="1"/>
  <c r="J63" i="1" s="1"/>
  <c r="H44" i="1"/>
  <c r="H63" i="1" s="1"/>
  <c r="I44" i="1"/>
  <c r="I63" i="1" s="1"/>
  <c r="L44" i="1"/>
  <c r="L63" i="1" s="1"/>
  <c r="C19" i="1"/>
  <c r="C32" i="14" s="1"/>
  <c r="C73" i="1" l="1"/>
  <c r="C74" i="1" s="1"/>
  <c r="E63" i="1"/>
  <c r="E64" i="1" s="1"/>
  <c r="D63" i="1"/>
  <c r="D64" i="1" s="1"/>
  <c r="D73" i="1"/>
  <c r="D74" i="1" s="1"/>
  <c r="D36" i="8"/>
  <c r="D36" i="13"/>
  <c r="F73" i="1"/>
  <c r="F74" i="1" s="1"/>
  <c r="F63" i="1"/>
  <c r="F64" i="1" s="1"/>
  <c r="C63" i="1"/>
  <c r="C64" i="1" s="1"/>
  <c r="Q59" i="1"/>
  <c r="Q51" i="1"/>
  <c r="Q47" i="1"/>
  <c r="Q55" i="1"/>
  <c r="H51" i="1"/>
  <c r="H55" i="1"/>
  <c r="H59" i="1"/>
  <c r="E59" i="1" s="1"/>
  <c r="E60" i="1" s="1"/>
  <c r="E61" i="1" s="1"/>
  <c r="E79" i="1" s="1"/>
  <c r="E80" i="1" s="1"/>
  <c r="H47" i="1"/>
  <c r="J55" i="1"/>
  <c r="J59" i="1"/>
  <c r="J47" i="1"/>
  <c r="J51" i="1"/>
  <c r="O59" i="1"/>
  <c r="O47" i="1"/>
  <c r="O55" i="1"/>
  <c r="O51" i="1"/>
  <c r="M47" i="1"/>
  <c r="M51" i="1"/>
  <c r="M55" i="1"/>
  <c r="M59" i="1"/>
  <c r="P59" i="1"/>
  <c r="P47" i="1"/>
  <c r="P51" i="1"/>
  <c r="P55" i="1"/>
  <c r="L51" i="1"/>
  <c r="L55" i="1"/>
  <c r="L59" i="1"/>
  <c r="L47" i="1"/>
  <c r="I55" i="1"/>
  <c r="I51" i="1"/>
  <c r="I59" i="1"/>
  <c r="I47" i="1"/>
  <c r="K51" i="1"/>
  <c r="K55" i="1"/>
  <c r="K47" i="1"/>
  <c r="K59" i="1"/>
  <c r="N47" i="1"/>
  <c r="N51" i="1"/>
  <c r="N55" i="1"/>
  <c r="N59" i="1"/>
  <c r="D59" i="1" l="1"/>
  <c r="D60" i="1" s="1"/>
  <c r="D61" i="1" s="1"/>
  <c r="D79" i="1" s="1"/>
  <c r="D80" i="1" s="1"/>
  <c r="F59" i="1"/>
  <c r="F60" i="1" s="1"/>
  <c r="F61" i="1" s="1"/>
  <c r="C51" i="1"/>
  <c r="C52" i="1" s="1"/>
  <c r="C53" i="1" s="1"/>
  <c r="F55" i="1"/>
  <c r="F56" i="1" s="1"/>
  <c r="F57" i="1" s="1"/>
  <c r="C47" i="1"/>
  <c r="C48" i="1" s="1"/>
  <c r="C49" i="1" s="1"/>
  <c r="F51" i="1"/>
  <c r="C59" i="1"/>
  <c r="C60" i="1" s="1"/>
  <c r="C61" i="1" s="1"/>
  <c r="C55" i="1"/>
  <c r="C56" i="1" s="1"/>
  <c r="C57" i="1" s="1"/>
  <c r="F47" i="1"/>
  <c r="F48" i="1" s="1"/>
  <c r="F49" i="1" s="1"/>
  <c r="F52" i="1"/>
  <c r="F53" i="1" s="1"/>
  <c r="F79" i="1" l="1"/>
  <c r="F80" i="1" s="1"/>
  <c r="C79" i="1"/>
  <c r="C80" i="1" l="1"/>
  <c r="C39" i="8"/>
  <c r="D39" i="8"/>
  <c r="D40" i="8" l="1"/>
  <c r="C40" i="8"/>
</calcChain>
</file>

<file path=xl/sharedStrings.xml><?xml version="1.0" encoding="utf-8"?>
<sst xmlns="http://purl.oclc.org/ooxml/spreadsheetml/main" count="397" uniqueCount="173">
  <si>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</si>
  <si>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</si>
  <si>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</si>
  <si>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</si>
  <si>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</si>
  <si>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</si>
  <si>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</si>
  <si>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</si>
  <si>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</si>
  <si>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</si>
  <si>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</si>
  <si>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</si>
  <si>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</si>
  <si>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</si>
  <si>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</si>
  <si>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</si>
  <si>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</si>
  <si>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</si>
  <si>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</si>
  <si>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</si>
  <si>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</si>
  <si>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</si>
  <si>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</si>
  <si>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</si>
  <si>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</si>
  <si>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</si>
  <si>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</si>
  <si>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</si>
  <si>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</si>
  <si>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</si>
  <si>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</si>
  <si>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</si>
  <si>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</si>
  <si>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</si>
  <si>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</si>
  <si>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</si>
  <si>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</si>
  <si>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</si>
  <si>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</si>
  <si>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</si>
  <si>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</si>
  <si>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</si>
  <si>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</si>
  <si>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</si>
  <si>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</si>
  <si>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</si>
  <si>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</si>
  <si>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</si>
  <si>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lden</t>
  </si>
  <si>
    <t>Guski et al. (2017)</t>
  </si>
  <si>
    <t>High sleep disturbance</t>
  </si>
  <si>
    <t>lnight</t>
  </si>
  <si>
    <t>Basner and McGuire (2018)</t>
  </si>
  <si>
    <t>All-cause mortality</t>
  </si>
  <si>
    <t>relative_risk</t>
  </si>
  <si>
    <t>incidence</t>
  </si>
  <si>
    <t>Engelmann et al. (2025), ch. 3.3.1</t>
  </si>
  <si>
    <t>Cardiovascular disease</t>
  </si>
  <si>
    <t>Engelmann et al. (2025), ch. 3.3.2</t>
  </si>
  <si>
    <t>Diabetes</t>
  </si>
  <si>
    <t>Engelmann et al. (2025), ch. 3.3.3</t>
  </si>
  <si>
    <t>tbc</t>
  </si>
  <si>
    <t>IHD</t>
  </si>
  <si>
    <t>EEA_model</t>
  </si>
  <si>
    <t>END Annex III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</si>
  <si>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</si>
  <si>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</si>
  <si>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</si>
  <si>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</si>
  <si>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</si>
  <si>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</si>
  <si>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</si>
  <si>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</si>
  <si>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</si>
  <si>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</si>
  <si>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</si>
  <si>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</si>
  <si>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</si>
  <si>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</si>
  <si>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</si>
  <si>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</si>
  <si>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</si>
  <si>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</si>
  <si>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</si>
  <si>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</si>
  <si>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</si>
  <si>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</si>
  <si>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</si>
  <si>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</si>
  <si>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</si>
  <si>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</si>
  <si>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</si>
  <si>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General</t>
  </si>
  <si>
    <t>Model</t>
  </si>
  <si>
    <t>DALY / EURO</t>
  </si>
  <si>
    <t>EURO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</si>
  <si>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</si>
  <si>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</si>
  <si>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</si>
  <si>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</si>
  <si>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</si>
  <si>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</si>
  <si>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</si>
  <si>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</si>
  <si>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</si>
  <si>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</si>
  <si>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</si>
  <si>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</si>
  <si>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</si>
  <si>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</si>
  <si>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</si>
  <si>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</si>
  <si>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</si>
  <si>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</si>
  <si>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</si>
  <si>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</si>
  <si>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</si>
  <si>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</si>
  <si>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</si>
  <si>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</si>
  <si>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HA/ HSD</t>
  </si>
  <si>
    <t>YYL/ YLD für  mortality, CVD, Diabetes, IHD nach 2019 GBD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</si>
  <si>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</si>
  <si>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</si>
  <si>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</si>
  <si>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</si>
  <si>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</si>
  <si>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</si>
  <si>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</si>
  <si>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</si>
  <si>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</si>
  <si>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</si>
  <si>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</si>
  <si>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</si>
  <si>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Sum exposed</t>
  </si>
  <si>
    <t>Sum p[i]*ERF[Ni]</t>
  </si>
  <si>
    <t>YLD = DW * Sum p[i]*ERF[Ni] * Summe der Exponierten Lden</t>
  </si>
  <si>
    <t>YLD = DW * Sum p[i]*ERF[Ni] * Summe der Exponierten Lnight</t>
  </si>
  <si>
    <t>Kartierungsgebiet</t>
  </si>
  <si>
    <t>Quelle</t>
  </si>
  <si>
    <t>DALY pro 100.000 = (DALY / Population in Ballungsraum) * 100k</t>
  </si>
  <si>
    <t>Population in Ballungsräumen Deutschland</t>
  </si>
  <si>
    <t>EURO pro Person = EURO Ballungsraum / Population in Ballungsraum</t>
  </si>
  <si>
    <t>1 DALY =</t>
  </si>
  <si>
    <t>Anzahl belasteter Personen nach ULR</t>
  </si>
  <si>
    <t>- tba -</t>
  </si>
  <si>
    <r>
      <t xml:space="preserve">(78.9270 - 3.1162 * c + 0.0342 * c^2) </t>
    </r>
    <r>
      <rPr>
        <sz val="11"/>
        <color rgb="FFFF0000"/>
        <rFont val="Calibri"/>
        <family val="2"/>
        <scheme val="minor"/>
      </rPr>
      <t>/ 100</t>
    </r>
  </si>
  <si>
    <r>
      <t xml:space="preserve">(19.4312 - 0.9336 * c + 0.0126 * c^2) </t>
    </r>
    <r>
      <rPr>
        <sz val="11"/>
        <color rgb="FFFF0000"/>
        <rFont val="Calibri"/>
        <family val="2"/>
        <scheme val="minor"/>
      </rPr>
      <t>/ 100</t>
    </r>
  </si>
  <si>
    <t>ERF - vollständige Formel wie in G35 ergänzen, Formeln prüfen</t>
  </si>
  <si>
    <r>
      <t xml:space="preserve">ifelse(c&gt;threshold , e^((ln(1,08)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>)*(c-threshold)) , 1)</t>
    </r>
  </si>
  <si>
    <t>metric ("c")</t>
  </si>
  <si>
    <r>
      <t xml:space="preserve">ifelse(c&gt;threshold , ((c-threshold)*1.055)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</t>
    </r>
    <r>
      <rPr>
        <sz val="11"/>
        <color rgb="FFFF000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</t>
    </r>
  </si>
  <si>
    <r>
      <t xml:space="preserve">ifelse(c&gt;threshold , ((c-threshold)*1.032)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</t>
    </r>
    <r>
      <rPr>
        <sz val="11"/>
        <color rgb="FFFF000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</t>
    </r>
  </si>
  <si>
    <r>
      <t xml:space="preserve">ifelse(c&gt;threshold , ((c-threshold)*1.062)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</t>
    </r>
    <r>
      <rPr>
        <sz val="11"/>
        <color rgb="FFFF000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</t>
    </r>
  </si>
  <si>
    <t xml:space="preserve">Modellvergleiche: ULR vs ULR-WHO vs ULR+Imputation vs ETC HE Report </t>
  </si>
  <si>
    <r>
      <t xml:space="preserve">Anzahl </t>
    </r>
    <r>
      <rPr>
        <sz val="11"/>
        <color rgb="FFFF0000"/>
        <rFont val="Calibri"/>
        <family val="2"/>
        <scheme val="minor"/>
      </rPr>
      <t>belasteter</t>
    </r>
    <r>
      <rPr>
        <sz val="11"/>
        <color theme="1"/>
        <rFont val="Calibri"/>
        <family val="2"/>
        <scheme val="minor"/>
      </rPr>
      <t xml:space="preserve"> Personen ab 25 dB</t>
    </r>
  </si>
  <si>
    <t>Number of exposed persons according to END</t>
  </si>
  <si>
    <t>Number of people exposed to noise levels of 25 dB or higher</t>
  </si>
  <si>
    <t>Input</t>
  </si>
  <si>
    <t>Source</t>
  </si>
  <si>
    <t>Exposure area</t>
  </si>
  <si>
    <t>Output</t>
  </si>
  <si>
    <t>Number of people exposed according to END</t>
  </si>
  <si>
    <t>Quantification of Noise Damage Costs</t>
  </si>
  <si>
    <t>END</t>
  </si>
  <si>
    <t>END-WHO</t>
  </si>
  <si>
    <t>ETC HE Report 2023/11v3</t>
  </si>
  <si>
    <t>END+Imputation</t>
  </si>
  <si>
    <t>EURO/Person</t>
  </si>
  <si>
    <t>DALY/100k</t>
  </si>
  <si>
    <t>YLL = YLLnat (= 0,2069215) ∙ AFtot * Summe der Exponierten</t>
  </si>
  <si>
    <t>YLL</t>
  </si>
  <si>
    <t>YLD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</si>
</sst>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/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 style="thick">
        <color rgb="FFFF0000"/>
      </start>
      <end/>
      <top style="thick">
        <color rgb="FFFF0000"/>
      </top>
      <bottom style="thick">
        <color rgb="FFFF0000"/>
      </bottom>
      <diagonal/>
    </border>
    <border>
      <start/>
      <end/>
      <top style="thick">
        <color rgb="FFFF0000"/>
      </top>
      <bottom style="thick">
        <color rgb="FFFF0000"/>
      </bottom>
      <diagonal/>
    </border>
    <border>
      <start/>
      <end style="thick">
        <color rgb="FFFF0000"/>
      </end>
      <top style="thick">
        <color rgb="FFFF0000"/>
      </top>
      <bottom style="thick">
        <color rgb="FFFF0000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8" fillId="0" borderId="0" xfId="0" applyFont="1"/>
    <xf numFmtId="0" fontId="8" fillId="0" borderId="4" xfId="0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2" borderId="7" xfId="0" applyFill="1" applyBorder="1" applyAlignment="1">
      <alignment wrapText="1"/>
    </xf>
    <xf numFmtId="0" fontId="0" fillId="2" borderId="0" xfId="0" applyFill="1" applyBorder="1" applyAlignment="1">
      <alignment wrapText="1"/>
    </xf>
    <xf numFmtId="0" fontId="0" fillId="2" borderId="7" xfId="0" applyFill="1" applyBorder="1"/>
    <xf numFmtId="0" fontId="0" fillId="2" borderId="0" xfId="0" applyFill="1" applyBorder="1"/>
    <xf numFmtId="0" fontId="1" fillId="2" borderId="0" xfId="0" applyFont="1" applyFill="1" applyBorder="1"/>
    <xf numFmtId="0" fontId="8" fillId="2" borderId="7" xfId="0" applyFont="1" applyFill="1" applyBorder="1"/>
    <xf numFmtId="0" fontId="8" fillId="2" borderId="0" xfId="0" applyFont="1" applyFill="1" applyBorder="1"/>
    <xf numFmtId="4" fontId="0" fillId="3" borderId="5" xfId="0" applyNumberFormat="1" applyFill="1" applyBorder="1"/>
    <xf numFmtId="0" fontId="0" fillId="3" borderId="0" xfId="0" applyFill="1" applyBorder="1"/>
    <xf numFmtId="0" fontId="0" fillId="3" borderId="5" xfId="0" applyFill="1" applyBorder="1"/>
    <xf numFmtId="0" fontId="8" fillId="3" borderId="0" xfId="0" applyFont="1" applyFill="1" applyBorder="1"/>
    <xf numFmtId="0" fontId="0" fillId="3" borderId="4" xfId="0" applyFill="1" applyBorder="1"/>
    <xf numFmtId="0" fontId="0" fillId="3" borderId="5" xfId="0" applyNumberFormat="1" applyFill="1" applyBorder="1"/>
    <xf numFmtId="166" fontId="0" fillId="2" borderId="5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6" xfId="0" applyFill="1" applyBorder="1" applyAlignment="1">
      <alignment wrapText="1"/>
    </xf>
    <xf numFmtId="166" fontId="0" fillId="2" borderId="9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4" borderId="0" xfId="0" applyFill="1"/>
    <xf numFmtId="0" fontId="0" fillId="0" borderId="5" xfId="0" applyFill="1" applyBorder="1"/>
    <xf numFmtId="0" fontId="0" fillId="0" borderId="5" xfId="0" applyFill="1" applyBorder="1" applyAlignment="1">
      <alignment horizontal="left" vertical="top"/>
    </xf>
    <xf numFmtId="0" fontId="11" fillId="0" borderId="0" xfId="0" applyFont="1" applyFill="1" applyBorder="1"/>
    <xf numFmtId="0" fontId="0" fillId="5" borderId="0" xfId="0" applyFill="1"/>
    <xf numFmtId="4" fontId="12" fillId="0" borderId="4" xfId="0" applyNumberFormat="1" applyFont="1" applyFill="1" applyBorder="1"/>
    <xf numFmtId="4" fontId="14" fillId="0" borderId="4" xfId="0" applyNumberFormat="1" applyFont="1" applyFill="1" applyBorder="1"/>
    <xf numFmtId="0" fontId="0" fillId="6" borderId="0" xfId="0" applyFill="1" applyAlignment="1">
      <alignment wrapText="1"/>
    </xf>
    <xf numFmtId="0" fontId="0" fillId="6" borderId="0" xfId="0" applyFill="1"/>
    <xf numFmtId="3" fontId="0" fillId="6" borderId="0" xfId="0" applyNumberFormat="1" applyFill="1"/>
    <xf numFmtId="0" fontId="0" fillId="7" borderId="0" xfId="0" applyFill="1" applyAlignment="1">
      <alignment wrapText="1"/>
    </xf>
    <xf numFmtId="0" fontId="0" fillId="7" borderId="0" xfId="0" applyFill="1"/>
    <xf numFmtId="3" fontId="0" fillId="7" borderId="0" xfId="0" applyNumberFormat="1" applyFill="1"/>
    <xf numFmtId="0" fontId="0" fillId="8" borderId="0" xfId="0" applyFill="1"/>
    <xf numFmtId="0" fontId="0" fillId="8" borderId="11" xfId="0" applyFill="1" applyBorder="1"/>
    <xf numFmtId="0" fontId="0" fillId="0" borderId="12" xfId="0" applyBorder="1"/>
    <xf numFmtId="3" fontId="0" fillId="6" borderId="12" xfId="0" applyNumberFormat="1" applyFill="1" applyBorder="1"/>
    <xf numFmtId="3" fontId="0" fillId="0" borderId="12" xfId="0" applyNumberFormat="1" applyBorder="1"/>
    <xf numFmtId="3" fontId="0" fillId="7" borderId="12" xfId="0" applyNumberFormat="1" applyFill="1" applyBorder="1"/>
    <xf numFmtId="3" fontId="0" fillId="7" borderId="13" xfId="0" applyNumberFormat="1" applyFill="1" applyBorder="1"/>
    <xf numFmtId="0" fontId="8" fillId="0" borderId="0" xfId="0" applyFont="1" applyAlignment="1">
      <alignment horizontal="right"/>
    </xf>
    <xf numFmtId="44" fontId="8" fillId="0" borderId="0" xfId="0" applyNumberFormat="1" applyFont="1"/>
    <xf numFmtId="0" fontId="0" fillId="8" borderId="0" xfId="0" applyFill="1" applyBorder="1"/>
    <xf numFmtId="3" fontId="0" fillId="6" borderId="0" xfId="0" applyNumberFormat="1" applyFill="1" applyBorder="1"/>
    <xf numFmtId="3" fontId="0" fillId="0" borderId="0" xfId="0" applyNumberFormat="1" applyBorder="1"/>
    <xf numFmtId="3" fontId="0" fillId="7" borderId="0" xfId="0" applyNumberFormat="1" applyFill="1" applyBorder="1"/>
    <xf numFmtId="3" fontId="7" fillId="6" borderId="0" xfId="0" applyNumberFormat="1" applyFont="1" applyFill="1"/>
    <xf numFmtId="4" fontId="0" fillId="5" borderId="0" xfId="0" applyNumberFormat="1" applyFill="1"/>
    <xf numFmtId="44" fontId="0" fillId="5" borderId="0" xfId="0" applyNumberFormat="1" applyFill="1"/>
    <xf numFmtId="4" fontId="0" fillId="4" borderId="0" xfId="0" applyNumberFormat="1" applyFill="1"/>
    <xf numFmtId="44" fontId="0" fillId="4" borderId="0" xfId="0" applyNumberFormat="1" applyFill="1"/>
    <xf numFmtId="4" fontId="0" fillId="5" borderId="0" xfId="0" quotePrefix="1" applyNumberFormat="1" applyFill="1" applyAlignment="1">
      <alignment horizontal="center"/>
    </xf>
    <xf numFmtId="4" fontId="0" fillId="4" borderId="0" xfId="0" quotePrefix="1" applyNumberFormat="1" applyFill="1" applyAlignment="1">
      <alignment horizontal="center"/>
    </xf>
    <xf numFmtId="44" fontId="0" fillId="5" borderId="0" xfId="0" quotePrefix="1" applyNumberFormat="1" applyFill="1" applyAlignment="1">
      <alignment horizontal="center"/>
    </xf>
    <xf numFmtId="44" fontId="0" fillId="4" borderId="0" xfId="0" quotePrefix="1" applyNumberFormat="1" applyFill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9" borderId="0" xfId="0" applyFill="1"/>
    <xf numFmtId="0" fontId="4" fillId="0" borderId="2" xfId="3" applyAlignment="1"/>
    <xf numFmtId="0" fontId="0" fillId="9" borderId="0" xfId="0" applyFill="1" applyBorder="1"/>
    <xf numFmtId="4" fontId="7" fillId="9" borderId="4" xfId="0" applyNumberFormat="1" applyFont="1" applyFill="1" applyBorder="1"/>
    <xf numFmtId="4" fontId="9" fillId="9" borderId="4" xfId="0" applyNumberFormat="1" applyFont="1" applyFill="1" applyBorder="1"/>
    <xf numFmtId="0" fontId="0" fillId="9" borderId="6" xfId="0" applyFill="1" applyBorder="1"/>
    <xf numFmtId="0" fontId="8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0" xfId="0" applyFill="1" applyAlignment="1">
      <alignment wrapText="1"/>
    </xf>
    <xf numFmtId="0" fontId="0" fillId="10" borderId="0" xfId="0" applyFill="1" applyBorder="1"/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wrapText="1"/>
    </xf>
    <xf numFmtId="0" fontId="0" fillId="3" borderId="0" xfId="0" applyFill="1" applyBorder="1" applyAlignment="1">
      <alignment wrapText="1"/>
    </xf>
    <xf numFmtId="4" fontId="0" fillId="3" borderId="9" xfId="0" applyNumberFormat="1" applyFill="1" applyBorder="1"/>
    <xf numFmtId="0" fontId="0" fillId="3" borderId="7" xfId="0" applyFill="1" applyBorder="1"/>
    <xf numFmtId="0" fontId="1" fillId="3" borderId="0" xfId="0" applyFont="1" applyFill="1" applyBorder="1"/>
    <xf numFmtId="0" fontId="0" fillId="3" borderId="9" xfId="0" applyFill="1" applyBorder="1"/>
    <xf numFmtId="0" fontId="8" fillId="3" borderId="7" xfId="0" applyFont="1" applyFill="1" applyBorder="1"/>
    <xf numFmtId="0" fontId="0" fillId="3" borderId="8" xfId="0" applyFill="1" applyBorder="1"/>
    <xf numFmtId="0" fontId="0" fillId="3" borderId="9" xfId="0" applyNumberFormat="1" applyFill="1" applyBorder="1"/>
    <xf numFmtId="0" fontId="0" fillId="6" borderId="4" xfId="0" applyFill="1" applyBorder="1" applyAlignment="1">
      <alignment horizontal="center"/>
    </xf>
    <xf numFmtId="4" fontId="0" fillId="6" borderId="5" xfId="0" applyNumberFormat="1" applyFill="1" applyBorder="1"/>
    <xf numFmtId="0" fontId="0" fillId="6" borderId="0" xfId="0" applyFill="1" applyBorder="1"/>
    <xf numFmtId="0" fontId="0" fillId="6" borderId="4" xfId="0" applyFill="1" applyBorder="1"/>
    <xf numFmtId="0" fontId="0" fillId="6" borderId="5" xfId="0" applyFill="1" applyBorder="1"/>
    <xf numFmtId="0" fontId="8" fillId="6" borderId="0" xfId="0" applyFont="1" applyFill="1" applyBorder="1"/>
    <xf numFmtId="0" fontId="0" fillId="6" borderId="5" xfId="0" applyNumberFormat="1" applyFill="1" applyBorder="1"/>
    <xf numFmtId="166" fontId="0" fillId="10" borderId="5" xfId="0" applyNumberFormat="1" applyFill="1" applyBorder="1" applyAlignment="1">
      <alignment wrapText="1"/>
    </xf>
    <xf numFmtId="0" fontId="0" fillId="10" borderId="4" xfId="0" applyFill="1" applyBorder="1" applyAlignment="1">
      <alignment wrapText="1"/>
    </xf>
    <xf numFmtId="0" fontId="0" fillId="10" borderId="6" xfId="0" applyFill="1" applyBorder="1" applyAlignment="1">
      <alignment wrapText="1"/>
    </xf>
    <xf numFmtId="0" fontId="8" fillId="10" borderId="0" xfId="0" applyFont="1" applyFill="1"/>
    <xf numFmtId="0" fontId="8" fillId="10" borderId="4" xfId="0" applyFont="1" applyFill="1" applyBorder="1"/>
    <xf numFmtId="0" fontId="8" fillId="2" borderId="4" xfId="0" applyFont="1" applyFill="1" applyBorder="1"/>
    <xf numFmtId="0" fontId="8" fillId="2" borderId="8" xfId="0" applyFont="1" applyFill="1" applyBorder="1"/>
    <xf numFmtId="0" fontId="0" fillId="9" borderId="5" xfId="0" applyFill="1" applyBorder="1" applyAlignment="1">
      <alignment horizontal="left" vertical="top"/>
    </xf>
    <xf numFmtId="4" fontId="9" fillId="0" borderId="4" xfId="0" applyNumberFormat="1" applyFont="1" applyFill="1" applyBorder="1"/>
    <xf numFmtId="0" fontId="0" fillId="11" borderId="0" xfId="0" applyFill="1" applyBorder="1"/>
    <xf numFmtId="0" fontId="0" fillId="11" borderId="5" xfId="0" applyFill="1" applyBorder="1"/>
    <xf numFmtId="0" fontId="0" fillId="11" borderId="0" xfId="0" quotePrefix="1" applyFill="1" applyBorder="1"/>
    <xf numFmtId="4" fontId="9" fillId="11" borderId="4" xfId="0" applyNumberFormat="1" applyFont="1" applyFill="1" applyBorder="1"/>
    <xf numFmtId="4" fontId="7" fillId="11" borderId="4" xfId="0" applyNumberFormat="1" applyFont="1" applyFill="1" applyBorder="1"/>
    <xf numFmtId="0" fontId="0" fillId="11" borderId="0" xfId="0" applyFill="1"/>
    <xf numFmtId="0" fontId="0" fillId="11" borderId="6" xfId="0" applyFill="1" applyBorder="1"/>
    <xf numFmtId="0" fontId="8" fillId="11" borderId="0" xfId="0" applyFont="1" applyFill="1"/>
    <xf numFmtId="0" fontId="0" fillId="12" borderId="0" xfId="0" applyFill="1" applyBorder="1"/>
    <xf numFmtId="0" fontId="0" fillId="13" borderId="0" xfId="0" applyFill="1" applyBorder="1"/>
    <xf numFmtId="0" fontId="0" fillId="12" borderId="5" xfId="0" applyFill="1" applyBorder="1" applyAlignment="1">
      <alignment horizontal="left" vertical="top"/>
    </xf>
    <xf numFmtId="4" fontId="7" fillId="12" borderId="4" xfId="0" applyNumberFormat="1" applyFont="1" applyFill="1" applyBorder="1"/>
    <xf numFmtId="0" fontId="0" fillId="12" borderId="0" xfId="0" applyFill="1"/>
    <xf numFmtId="4" fontId="9" fillId="12" borderId="4" xfId="0" applyNumberFormat="1" applyFont="1" applyFill="1" applyBorder="1"/>
    <xf numFmtId="0" fontId="0" fillId="12" borderId="6" xfId="0" applyFill="1" applyBorder="1"/>
    <xf numFmtId="0" fontId="8" fillId="12" borderId="0" xfId="0" applyFont="1" applyFill="1"/>
    <xf numFmtId="0" fontId="0" fillId="13" borderId="5" xfId="0" applyFill="1" applyBorder="1" applyAlignment="1">
      <alignment horizontal="left" vertical="top"/>
    </xf>
    <xf numFmtId="4" fontId="7" fillId="13" borderId="4" xfId="0" applyNumberFormat="1" applyFont="1" applyFill="1" applyBorder="1"/>
    <xf numFmtId="0" fontId="0" fillId="13" borderId="0" xfId="0" applyFill="1"/>
    <xf numFmtId="4" fontId="9" fillId="13" borderId="4" xfId="0" applyNumberFormat="1" applyFont="1" applyFill="1" applyBorder="1"/>
    <xf numFmtId="0" fontId="0" fillId="13" borderId="6" xfId="0" applyFill="1" applyBorder="1"/>
    <xf numFmtId="0" fontId="8" fillId="13" borderId="0" xfId="0" applyFont="1" applyFill="1"/>
    <xf numFmtId="4" fontId="8" fillId="9" borderId="0" xfId="0" applyNumberFormat="1" applyFont="1" applyFill="1"/>
    <xf numFmtId="44" fontId="8" fillId="9" borderId="0" xfId="5" applyFont="1" applyFill="1"/>
    <xf numFmtId="44" fontId="8" fillId="9" borderId="0" xfId="0" applyNumberFormat="1" applyFont="1" applyFill="1"/>
    <xf numFmtId="4" fontId="8" fillId="12" borderId="0" xfId="0" applyNumberFormat="1" applyFont="1" applyFill="1"/>
    <xf numFmtId="44" fontId="8" fillId="12" borderId="0" xfId="5" applyFont="1" applyFill="1"/>
    <xf numFmtId="44" fontId="8" fillId="12" borderId="0" xfId="0" applyNumberFormat="1" applyFont="1" applyFill="1"/>
    <xf numFmtId="4" fontId="8" fillId="13" borderId="0" xfId="0" applyNumberFormat="1" applyFont="1" applyFill="1"/>
    <xf numFmtId="44" fontId="8" fillId="13" borderId="0" xfId="5" applyFont="1" applyFill="1"/>
    <xf numFmtId="44" fontId="8" fillId="13" borderId="0" xfId="0" applyNumberFormat="1" applyFont="1" applyFill="1"/>
    <xf numFmtId="4" fontId="8" fillId="11" borderId="0" xfId="0" applyNumberFormat="1" applyFont="1" applyFill="1"/>
    <xf numFmtId="44" fontId="8" fillId="11" borderId="0" xfId="5" applyFont="1" applyFill="1"/>
    <xf numFmtId="44" fontId="8" fillId="11" borderId="0" xfId="0" applyNumberFormat="1" applyFont="1" applyFill="1"/>
    <xf numFmtId="0" fontId="0" fillId="9" borderId="0" xfId="0" quotePrefix="1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worksheet" Target="worksheets/sheet13.xml"/><Relationship Id="rId18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17" Type="http://purl.oclc.org/ooxml/officeDocument/relationships/sharedStrings" Target="sharedStrings.xml"/><Relationship Id="rId2" Type="http://purl.oclc.org/ooxml/officeDocument/relationships/worksheet" Target="worksheets/sheet2.xml"/><Relationship Id="rId16" Type="http://purl.oclc.org/ooxml/officeDocument/relationships/styles" Target="styles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theme" Target="theme/theme1.xml"/><Relationship Id="rId10" Type="http://purl.oclc.org/ooxml/officeDocument/relationships/worksheet" Target="worksheets/sheet10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purl.oclc.org/ooxml/officeDocument/relationships/image" Target="../media/image2.png"/><Relationship Id="rId1" Type="http://purl.oclc.org/ooxml/officeDocument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purl.oclc.org/ooxml/officeDocument/relationships/image" Target="../media/image4.png"/><Relationship Id="rId1" Type="http://purl.oclc.org/ooxml/officeDocument/relationships/image" Target="../media/image3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P45"/>
  <sheetViews>
    <sheetView workbookViewId="0">
      <selection activeCell="B43" sqref="B43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9.28515625" bestFit="1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02" t="s">
        <v>25</v>
      </c>
      <c r="B5" s="102"/>
      <c r="C5" s="102"/>
      <c r="D5" s="102"/>
      <c r="E5" s="102"/>
      <c r="F5" s="102"/>
      <c r="G5" s="102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03" t="s">
        <v>144</v>
      </c>
      <c r="B10" s="103"/>
    </row>
    <row r="11" spans="1:16" ht="15.75" thickTop="1" x14ac:dyDescent="0.25"/>
    <row r="12" spans="1:16" x14ac:dyDescent="0.25">
      <c r="A12" s="78" t="s">
        <v>139</v>
      </c>
      <c r="B12" s="78" t="s">
        <v>138</v>
      </c>
      <c r="D12" s="105" t="s">
        <v>65</v>
      </c>
      <c r="E12" s="105"/>
      <c r="F12" s="105"/>
      <c r="G12" s="105"/>
      <c r="H12" s="105"/>
      <c r="I12" s="105"/>
      <c r="K12" s="101" t="s">
        <v>66</v>
      </c>
      <c r="L12" s="101"/>
      <c r="M12" s="101"/>
      <c r="N12" s="101"/>
      <c r="O12" s="101"/>
      <c r="P12" s="101"/>
    </row>
    <row r="13" spans="1:16" ht="30" x14ac:dyDescent="0.25">
      <c r="A13" s="78"/>
      <c r="B13" s="78"/>
      <c r="D13" s="72" t="s">
        <v>107</v>
      </c>
      <c r="E13" s="72" t="s">
        <v>108</v>
      </c>
      <c r="F13" s="72" t="s">
        <v>109</v>
      </c>
      <c r="G13" s="72" t="s">
        <v>110</v>
      </c>
      <c r="H13" s="72" t="s">
        <v>111</v>
      </c>
      <c r="I13" s="73" t="s">
        <v>68</v>
      </c>
      <c r="K13" s="75" t="s">
        <v>112</v>
      </c>
      <c r="L13" s="75" t="s">
        <v>113</v>
      </c>
      <c r="M13" s="75" t="s">
        <v>114</v>
      </c>
      <c r="N13" s="75" t="s">
        <v>115</v>
      </c>
      <c r="O13" s="75" t="s">
        <v>116</v>
      </c>
      <c r="P13" s="76" t="s">
        <v>68</v>
      </c>
    </row>
    <row r="14" spans="1:16" x14ac:dyDescent="0.25">
      <c r="A14" s="104" t="s">
        <v>47</v>
      </c>
      <c r="B14" s="78" t="s">
        <v>69</v>
      </c>
      <c r="D14" s="74">
        <v>3725500</v>
      </c>
      <c r="E14" s="74">
        <v>1643600</v>
      </c>
      <c r="F14" s="74">
        <v>998600</v>
      </c>
      <c r="G14" s="74">
        <v>481900</v>
      </c>
      <c r="H14" s="74">
        <v>33500</v>
      </c>
      <c r="I14" s="74">
        <f>SUM(D14:H14)</f>
        <v>6883100</v>
      </c>
      <c r="J14" s="8"/>
      <c r="K14" s="77">
        <v>2411700</v>
      </c>
      <c r="L14" s="77">
        <v>1244300</v>
      </c>
      <c r="M14" s="77">
        <v>574000</v>
      </c>
      <c r="N14" s="77">
        <v>54400</v>
      </c>
      <c r="O14" s="77">
        <v>2100</v>
      </c>
      <c r="P14" s="77">
        <f>SUM(K14:O14)</f>
        <v>4286500</v>
      </c>
    </row>
    <row r="15" spans="1:16" x14ac:dyDescent="0.25">
      <c r="A15" s="104"/>
      <c r="B15" s="87" t="s">
        <v>76</v>
      </c>
      <c r="C15" s="15"/>
      <c r="D15" s="88">
        <v>3762100</v>
      </c>
      <c r="E15" s="88">
        <v>3050900</v>
      </c>
      <c r="F15" s="88">
        <v>2479000</v>
      </c>
      <c r="G15" s="88">
        <v>1006400</v>
      </c>
      <c r="H15" s="88">
        <v>99800</v>
      </c>
      <c r="I15" s="88">
        <f t="shared" ref="I15:I23" si="0">SUM(D15:H15)</f>
        <v>10398200</v>
      </c>
      <c r="J15" s="89"/>
      <c r="K15" s="90">
        <v>3383500</v>
      </c>
      <c r="L15" s="90">
        <v>2682400</v>
      </c>
      <c r="M15" s="90">
        <v>1283500</v>
      </c>
      <c r="N15" s="90">
        <v>156200</v>
      </c>
      <c r="O15" s="90">
        <v>4900</v>
      </c>
      <c r="P15" s="90">
        <f t="shared" ref="P15:P23" si="1">SUM(K15:O15)</f>
        <v>7510500</v>
      </c>
    </row>
    <row r="16" spans="1:16" x14ac:dyDescent="0.25">
      <c r="A16" s="78"/>
      <c r="B16" s="78"/>
      <c r="D16" s="74"/>
      <c r="E16" s="74"/>
      <c r="F16" s="74"/>
      <c r="G16" s="74"/>
      <c r="H16" s="74"/>
      <c r="I16" s="74"/>
      <c r="J16" s="8"/>
      <c r="K16" s="77"/>
      <c r="L16" s="77"/>
      <c r="M16" s="77"/>
      <c r="N16" s="77"/>
      <c r="O16" s="77"/>
      <c r="P16" s="77"/>
    </row>
    <row r="17" spans="1:16" x14ac:dyDescent="0.25">
      <c r="A17" s="78"/>
      <c r="B17" s="78"/>
      <c r="D17" s="74"/>
      <c r="E17" s="74"/>
      <c r="F17" s="74"/>
      <c r="G17" s="74"/>
      <c r="H17" s="74"/>
      <c r="I17" s="74"/>
      <c r="J17" s="8"/>
      <c r="K17" s="77"/>
      <c r="L17" s="77"/>
      <c r="M17" s="77"/>
      <c r="N17" s="77"/>
      <c r="O17" s="77"/>
      <c r="P17" s="77"/>
    </row>
    <row r="18" spans="1:16" x14ac:dyDescent="0.25">
      <c r="A18" s="104" t="s">
        <v>70</v>
      </c>
      <c r="B18" s="78" t="s">
        <v>71</v>
      </c>
      <c r="D18" s="74">
        <v>716500</v>
      </c>
      <c r="E18" s="74">
        <v>340700</v>
      </c>
      <c r="F18" s="74">
        <v>141700</v>
      </c>
      <c r="G18" s="74">
        <v>36000</v>
      </c>
      <c r="H18" s="74">
        <v>4600</v>
      </c>
      <c r="I18" s="74">
        <f t="shared" si="0"/>
        <v>1239500</v>
      </c>
      <c r="J18" s="8"/>
      <c r="K18" s="77">
        <v>568900</v>
      </c>
      <c r="L18" s="77">
        <v>258600</v>
      </c>
      <c r="M18" s="77">
        <v>93100</v>
      </c>
      <c r="N18" s="77">
        <v>21100</v>
      </c>
      <c r="O18" s="77">
        <v>2200</v>
      </c>
      <c r="P18" s="77">
        <f t="shared" si="1"/>
        <v>943900</v>
      </c>
    </row>
    <row r="19" spans="1:16" x14ac:dyDescent="0.25">
      <c r="A19" s="104"/>
      <c r="B19" s="78" t="s">
        <v>72</v>
      </c>
      <c r="D19" s="74">
        <v>1289300</v>
      </c>
      <c r="E19" s="74">
        <v>787600</v>
      </c>
      <c r="F19" s="74">
        <v>383200</v>
      </c>
      <c r="G19" s="74">
        <v>74300</v>
      </c>
      <c r="H19" s="74">
        <v>13200</v>
      </c>
      <c r="I19" s="74">
        <f t="shared" si="0"/>
        <v>2547600</v>
      </c>
      <c r="J19" s="8"/>
      <c r="K19" s="77">
        <v>1058400</v>
      </c>
      <c r="L19" s="77">
        <v>609100</v>
      </c>
      <c r="M19" s="77">
        <v>175500</v>
      </c>
      <c r="N19" s="77">
        <v>32000</v>
      </c>
      <c r="O19" s="77">
        <v>7700</v>
      </c>
      <c r="P19" s="77">
        <f t="shared" si="1"/>
        <v>1882700</v>
      </c>
    </row>
    <row r="20" spans="1:16" x14ac:dyDescent="0.25">
      <c r="A20" s="78"/>
      <c r="B20" s="78"/>
      <c r="D20" s="74"/>
      <c r="E20" s="74"/>
      <c r="F20" s="74"/>
      <c r="G20" s="74"/>
      <c r="H20" s="74"/>
      <c r="I20" s="74"/>
      <c r="J20" s="8"/>
      <c r="K20" s="77"/>
      <c r="L20" s="77"/>
      <c r="M20" s="77"/>
      <c r="N20" s="77"/>
      <c r="O20" s="77"/>
      <c r="P20" s="77"/>
    </row>
    <row r="21" spans="1:16" x14ac:dyDescent="0.25">
      <c r="A21" s="78"/>
      <c r="B21" s="78"/>
      <c r="D21" s="91"/>
      <c r="E21" s="74"/>
      <c r="F21" s="74"/>
      <c r="G21" s="74"/>
      <c r="H21" s="74"/>
      <c r="I21" s="74"/>
      <c r="J21" s="8"/>
      <c r="K21" s="77"/>
      <c r="L21" s="77"/>
      <c r="M21" s="77"/>
      <c r="N21" s="77"/>
      <c r="O21" s="77"/>
      <c r="P21" s="77"/>
    </row>
    <row r="22" spans="1:16" x14ac:dyDescent="0.25">
      <c r="A22" s="104" t="s">
        <v>73</v>
      </c>
      <c r="B22" s="78" t="s">
        <v>74</v>
      </c>
      <c r="D22" s="74">
        <v>303900</v>
      </c>
      <c r="E22" s="74">
        <v>69900</v>
      </c>
      <c r="F22" s="74">
        <v>3900</v>
      </c>
      <c r="G22" s="74">
        <v>0</v>
      </c>
      <c r="H22" s="74">
        <v>0</v>
      </c>
      <c r="I22" s="74">
        <f t="shared" si="0"/>
        <v>377700</v>
      </c>
      <c r="J22" s="8"/>
      <c r="K22" s="77">
        <v>123200</v>
      </c>
      <c r="L22" s="77">
        <v>17600</v>
      </c>
      <c r="M22" s="77">
        <v>400</v>
      </c>
      <c r="N22" s="77">
        <v>0</v>
      </c>
      <c r="O22" s="77">
        <v>0</v>
      </c>
      <c r="P22" s="77">
        <f t="shared" si="1"/>
        <v>141200</v>
      </c>
    </row>
    <row r="23" spans="1:16" x14ac:dyDescent="0.25">
      <c r="A23" s="104"/>
      <c r="B23" s="78" t="s">
        <v>75</v>
      </c>
      <c r="D23" s="74">
        <v>419800</v>
      </c>
      <c r="E23" s="74">
        <v>51900</v>
      </c>
      <c r="F23" s="74">
        <v>3000</v>
      </c>
      <c r="G23" s="74">
        <v>700</v>
      </c>
      <c r="H23" s="74">
        <v>0</v>
      </c>
      <c r="I23" s="74">
        <f t="shared" si="0"/>
        <v>475400</v>
      </c>
      <c r="J23" s="8"/>
      <c r="K23" s="77">
        <v>121500</v>
      </c>
      <c r="L23" s="77">
        <v>10900</v>
      </c>
      <c r="M23" s="77">
        <v>400</v>
      </c>
      <c r="N23" s="77">
        <v>0</v>
      </c>
      <c r="O23" s="77">
        <v>0</v>
      </c>
      <c r="P23" s="77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03" t="s">
        <v>127</v>
      </c>
      <c r="B32" s="103"/>
    </row>
    <row r="33" spans="2:4" ht="15.75" thickTop="1" x14ac:dyDescent="0.25"/>
    <row r="34" spans="2:4" x14ac:dyDescent="0.25">
      <c r="B34" s="78"/>
      <c r="C34" s="74" t="s">
        <v>65</v>
      </c>
      <c r="D34" s="77" t="s">
        <v>66</v>
      </c>
    </row>
    <row r="35" spans="2:4" x14ac:dyDescent="0.25">
      <c r="B35" s="78" t="s">
        <v>144</v>
      </c>
      <c r="C35" s="74">
        <f>I15</f>
        <v>10398200</v>
      </c>
      <c r="D35" s="77">
        <f>P15</f>
        <v>7510500</v>
      </c>
    </row>
    <row r="36" spans="2:4" x14ac:dyDescent="0.25">
      <c r="B36" s="78" t="s">
        <v>155</v>
      </c>
      <c r="C36" s="74">
        <f>'Agglomeration road'!C18</f>
        <v>20796420.796399999</v>
      </c>
      <c r="D36" s="77">
        <f>'Agglomeration road'!C19</f>
        <v>15021000</v>
      </c>
    </row>
    <row r="37" spans="2:4" x14ac:dyDescent="0.25">
      <c r="C37" s="8"/>
      <c r="D37" s="8"/>
    </row>
    <row r="38" spans="2:4" x14ac:dyDescent="0.25">
      <c r="C38" s="69" t="s">
        <v>91</v>
      </c>
      <c r="D38" s="65" t="s">
        <v>125</v>
      </c>
    </row>
    <row r="39" spans="2:4" x14ac:dyDescent="0.25">
      <c r="B39" s="32" t="s">
        <v>90</v>
      </c>
      <c r="C39" s="92">
        <f>'Agglomeration road'!C79</f>
        <v>27420.859000423719</v>
      </c>
      <c r="D39" s="94">
        <f>'Agglomeration road'!F79</f>
        <v>308626.30242553435</v>
      </c>
    </row>
    <row r="40" spans="2:4" x14ac:dyDescent="0.25">
      <c r="B40" s="32" t="s">
        <v>95</v>
      </c>
      <c r="C40" s="93">
        <f>'Agglomeration road'!C80</f>
        <v>1919460130.0296605</v>
      </c>
      <c r="D40" s="95">
        <f>'Agglomeration road'!F80</f>
        <v>21603841169.787403</v>
      </c>
    </row>
    <row r="44" spans="2:4" x14ac:dyDescent="0.25">
      <c r="B44" s="4"/>
    </row>
    <row r="45" spans="2:4" x14ac:dyDescent="0.25">
      <c r="B45" s="4"/>
    </row>
  </sheetData>
  <mergeCells count="8">
    <mergeCell ref="K12:P12"/>
    <mergeCell ref="A5:G5"/>
    <mergeCell ref="A32:B32"/>
    <mergeCell ref="A10:B10"/>
    <mergeCell ref="A14:A15"/>
    <mergeCell ref="A18:A19"/>
    <mergeCell ref="A22:A23"/>
    <mergeCell ref="D12:I1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A578C-B553-47BE-9A2E-931A94425EB8}">
  <dimension ref="A1:P40"/>
  <sheetViews>
    <sheetView topLeftCell="A10" workbookViewId="0">
      <selection activeCell="B35" sqref="B35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8.28515625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02" t="s">
        <v>25</v>
      </c>
      <c r="B5" s="102"/>
      <c r="C5" s="102"/>
      <c r="D5" s="102"/>
      <c r="E5" s="102"/>
      <c r="F5" s="102"/>
      <c r="G5" s="102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03" t="s">
        <v>144</v>
      </c>
      <c r="B10" s="103"/>
    </row>
    <row r="11" spans="1:16" ht="15.75" thickTop="1" x14ac:dyDescent="0.25"/>
    <row r="12" spans="1:16" x14ac:dyDescent="0.25">
      <c r="A12" s="78" t="s">
        <v>139</v>
      </c>
      <c r="B12" s="78" t="s">
        <v>138</v>
      </c>
      <c r="D12" s="105" t="s">
        <v>65</v>
      </c>
      <c r="E12" s="105"/>
      <c r="F12" s="105"/>
      <c r="G12" s="105"/>
      <c r="H12" s="105"/>
      <c r="I12" s="105"/>
      <c r="K12" s="101" t="s">
        <v>66</v>
      </c>
      <c r="L12" s="101"/>
      <c r="M12" s="101"/>
      <c r="N12" s="101"/>
      <c r="O12" s="101"/>
      <c r="P12" s="101"/>
    </row>
    <row r="13" spans="1:16" ht="30" x14ac:dyDescent="0.25">
      <c r="A13" s="78"/>
      <c r="B13" s="78"/>
      <c r="D13" s="72" t="s">
        <v>107</v>
      </c>
      <c r="E13" s="72" t="s">
        <v>108</v>
      </c>
      <c r="F13" s="72" t="s">
        <v>109</v>
      </c>
      <c r="G13" s="72" t="s">
        <v>110</v>
      </c>
      <c r="H13" s="72" t="s">
        <v>111</v>
      </c>
      <c r="I13" s="73" t="s">
        <v>68</v>
      </c>
      <c r="K13" s="75" t="s">
        <v>112</v>
      </c>
      <c r="L13" s="75" t="s">
        <v>113</v>
      </c>
      <c r="M13" s="75" t="s">
        <v>114</v>
      </c>
      <c r="N13" s="75" t="s">
        <v>115</v>
      </c>
      <c r="O13" s="75" t="s">
        <v>116</v>
      </c>
      <c r="P13" s="76" t="s">
        <v>68</v>
      </c>
    </row>
    <row r="14" spans="1:16" ht="15.75" thickBot="1" x14ac:dyDescent="0.3">
      <c r="A14" s="104" t="s">
        <v>47</v>
      </c>
      <c r="B14" s="78" t="s">
        <v>69</v>
      </c>
      <c r="D14" s="74">
        <v>3725500</v>
      </c>
      <c r="E14" s="74">
        <v>1643600</v>
      </c>
      <c r="F14" s="74">
        <v>998600</v>
      </c>
      <c r="G14" s="74">
        <v>481900</v>
      </c>
      <c r="H14" s="74">
        <v>33500</v>
      </c>
      <c r="I14" s="74">
        <f>SUM(D14:H14)</f>
        <v>6883100</v>
      </c>
      <c r="J14" s="8"/>
      <c r="K14" s="77">
        <v>2411700</v>
      </c>
      <c r="L14" s="77">
        <v>1244300</v>
      </c>
      <c r="M14" s="77">
        <v>574000</v>
      </c>
      <c r="N14" s="77">
        <v>54400</v>
      </c>
      <c r="O14" s="77">
        <v>2100</v>
      </c>
      <c r="P14" s="77">
        <f>SUM(K14:O14)</f>
        <v>4286500</v>
      </c>
    </row>
    <row r="15" spans="1:16" ht="16.5" thickTop="1" thickBot="1" x14ac:dyDescent="0.3">
      <c r="A15" s="104"/>
      <c r="B15" s="79" t="s">
        <v>76</v>
      </c>
      <c r="C15" s="80"/>
      <c r="D15" s="81">
        <v>3762100</v>
      </c>
      <c r="E15" s="81">
        <v>3050900</v>
      </c>
      <c r="F15" s="81">
        <v>2479000</v>
      </c>
      <c r="G15" s="81">
        <v>1006400</v>
      </c>
      <c r="H15" s="81">
        <v>99800</v>
      </c>
      <c r="I15" s="81">
        <f t="shared" ref="I15:I23" si="0">SUM(D15:H15)</f>
        <v>10398200</v>
      </c>
      <c r="J15" s="82"/>
      <c r="K15" s="83">
        <v>3383500</v>
      </c>
      <c r="L15" s="83">
        <v>2682400</v>
      </c>
      <c r="M15" s="83">
        <v>1283500</v>
      </c>
      <c r="N15" s="83">
        <v>156200</v>
      </c>
      <c r="O15" s="83">
        <v>4900</v>
      </c>
      <c r="P15" s="84">
        <f t="shared" ref="P15:P23" si="1">SUM(K15:O15)</f>
        <v>7510500</v>
      </c>
    </row>
    <row r="16" spans="1:16" ht="15.75" thickTop="1" x14ac:dyDescent="0.25">
      <c r="A16" s="78"/>
      <c r="B16" s="78"/>
      <c r="D16" s="74"/>
      <c r="E16" s="74"/>
      <c r="F16" s="74"/>
      <c r="G16" s="74"/>
      <c r="H16" s="74"/>
      <c r="I16" s="74"/>
      <c r="J16" s="8"/>
      <c r="K16" s="77"/>
      <c r="L16" s="77"/>
      <c r="M16" s="77"/>
      <c r="N16" s="77"/>
      <c r="O16" s="77"/>
      <c r="P16" s="77"/>
    </row>
    <row r="17" spans="1:16" x14ac:dyDescent="0.25">
      <c r="A17" s="78"/>
      <c r="B17" s="78"/>
      <c r="D17" s="74"/>
      <c r="E17" s="74"/>
      <c r="F17" s="74"/>
      <c r="G17" s="74"/>
      <c r="H17" s="74"/>
      <c r="I17" s="74"/>
      <c r="J17" s="8"/>
      <c r="K17" s="77"/>
      <c r="L17" s="77"/>
      <c r="M17" s="77"/>
      <c r="N17" s="77"/>
      <c r="O17" s="77"/>
      <c r="P17" s="77"/>
    </row>
    <row r="18" spans="1:16" x14ac:dyDescent="0.25">
      <c r="A18" s="104" t="s">
        <v>70</v>
      </c>
      <c r="B18" s="78" t="s">
        <v>71</v>
      </c>
      <c r="D18" s="74">
        <v>716500</v>
      </c>
      <c r="E18" s="74">
        <v>340700</v>
      </c>
      <c r="F18" s="74">
        <v>141700</v>
      </c>
      <c r="G18" s="74">
        <v>36000</v>
      </c>
      <c r="H18" s="74">
        <v>4600</v>
      </c>
      <c r="I18" s="74">
        <f t="shared" si="0"/>
        <v>1239500</v>
      </c>
      <c r="J18" s="8"/>
      <c r="K18" s="77">
        <v>568900</v>
      </c>
      <c r="L18" s="77">
        <v>258600</v>
      </c>
      <c r="M18" s="77">
        <v>93100</v>
      </c>
      <c r="N18" s="77">
        <v>21100</v>
      </c>
      <c r="O18" s="77">
        <v>2200</v>
      </c>
      <c r="P18" s="77">
        <f t="shared" si="1"/>
        <v>943900</v>
      </c>
    </row>
    <row r="19" spans="1:16" x14ac:dyDescent="0.25">
      <c r="A19" s="104"/>
      <c r="B19" s="78" t="s">
        <v>72</v>
      </c>
      <c r="D19" s="74">
        <v>1289300</v>
      </c>
      <c r="E19" s="74">
        <v>787600</v>
      </c>
      <c r="F19" s="74">
        <v>383200</v>
      </c>
      <c r="G19" s="74">
        <v>74300</v>
      </c>
      <c r="H19" s="74">
        <v>13200</v>
      </c>
      <c r="I19" s="74">
        <f t="shared" si="0"/>
        <v>2547600</v>
      </c>
      <c r="J19" s="8"/>
      <c r="K19" s="77">
        <v>1058400</v>
      </c>
      <c r="L19" s="77">
        <v>609100</v>
      </c>
      <c r="M19" s="77">
        <v>175500</v>
      </c>
      <c r="N19" s="77">
        <v>32000</v>
      </c>
      <c r="O19" s="77">
        <v>7700</v>
      </c>
      <c r="P19" s="77">
        <f t="shared" si="1"/>
        <v>1882700</v>
      </c>
    </row>
    <row r="20" spans="1:16" x14ac:dyDescent="0.25">
      <c r="A20" s="78"/>
      <c r="B20" s="78"/>
      <c r="D20" s="74"/>
      <c r="E20" s="74"/>
      <c r="F20" s="74"/>
      <c r="G20" s="74"/>
      <c r="H20" s="74"/>
      <c r="I20" s="74"/>
      <c r="J20" s="8"/>
      <c r="K20" s="77"/>
      <c r="L20" s="77"/>
      <c r="M20" s="77"/>
      <c r="N20" s="77"/>
      <c r="O20" s="77"/>
      <c r="P20" s="77"/>
    </row>
    <row r="21" spans="1:16" x14ac:dyDescent="0.25">
      <c r="A21" s="78"/>
      <c r="B21" s="78"/>
      <c r="D21" s="91"/>
      <c r="E21" s="74"/>
      <c r="F21" s="74"/>
      <c r="G21" s="74"/>
      <c r="H21" s="74"/>
      <c r="I21" s="74"/>
      <c r="J21" s="8"/>
      <c r="K21" s="77"/>
      <c r="L21" s="77"/>
      <c r="M21" s="77"/>
      <c r="N21" s="77"/>
      <c r="O21" s="77"/>
      <c r="P21" s="77"/>
    </row>
    <row r="22" spans="1:16" x14ac:dyDescent="0.25">
      <c r="A22" s="104" t="s">
        <v>73</v>
      </c>
      <c r="B22" s="78" t="s">
        <v>74</v>
      </c>
      <c r="D22" s="74">
        <v>303900</v>
      </c>
      <c r="E22" s="74">
        <v>69900</v>
      </c>
      <c r="F22" s="74">
        <v>3900</v>
      </c>
      <c r="G22" s="74">
        <v>0</v>
      </c>
      <c r="H22" s="74">
        <v>0</v>
      </c>
      <c r="I22" s="74">
        <f t="shared" si="0"/>
        <v>377700</v>
      </c>
      <c r="J22" s="8"/>
      <c r="K22" s="77">
        <v>123200</v>
      </c>
      <c r="L22" s="77">
        <v>17600</v>
      </c>
      <c r="M22" s="77">
        <v>400</v>
      </c>
      <c r="N22" s="77">
        <v>0</v>
      </c>
      <c r="O22" s="77">
        <v>0</v>
      </c>
      <c r="P22" s="77">
        <f t="shared" si="1"/>
        <v>141200</v>
      </c>
    </row>
    <row r="23" spans="1:16" x14ac:dyDescent="0.25">
      <c r="A23" s="104"/>
      <c r="B23" s="78" t="s">
        <v>75</v>
      </c>
      <c r="D23" s="74">
        <v>419800</v>
      </c>
      <c r="E23" s="74">
        <v>51900</v>
      </c>
      <c r="F23" s="74">
        <v>3000</v>
      </c>
      <c r="G23" s="74">
        <v>700</v>
      </c>
      <c r="H23" s="74">
        <v>0</v>
      </c>
      <c r="I23" s="74">
        <f t="shared" si="0"/>
        <v>475400</v>
      </c>
      <c r="J23" s="8"/>
      <c r="K23" s="77">
        <v>121500</v>
      </c>
      <c r="L23" s="77">
        <v>10900</v>
      </c>
      <c r="M23" s="77">
        <v>400</v>
      </c>
      <c r="N23" s="77">
        <v>0</v>
      </c>
      <c r="O23" s="77">
        <v>0</v>
      </c>
      <c r="P23" s="77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03" t="s">
        <v>127</v>
      </c>
      <c r="B32" s="103"/>
    </row>
    <row r="33" spans="2:4" ht="15.75" thickTop="1" x14ac:dyDescent="0.25"/>
    <row r="34" spans="2:4" x14ac:dyDescent="0.25">
      <c r="B34" s="78"/>
      <c r="C34" s="74" t="s">
        <v>65</v>
      </c>
      <c r="D34" s="77" t="s">
        <v>66</v>
      </c>
    </row>
    <row r="35" spans="2:4" x14ac:dyDescent="0.25">
      <c r="B35" s="78" t="s">
        <v>144</v>
      </c>
      <c r="C35" s="74">
        <f>I15</f>
        <v>10398200</v>
      </c>
      <c r="D35" s="77">
        <f>P15</f>
        <v>7510500</v>
      </c>
    </row>
    <row r="36" spans="2:4" x14ac:dyDescent="0.25">
      <c r="B36" s="78" t="s">
        <v>155</v>
      </c>
      <c r="C36" s="74">
        <f>'Agglomeration road'!C18</f>
        <v>20796420.796399999</v>
      </c>
      <c r="D36" s="77">
        <f>'Agglomeration road'!C19</f>
        <v>15021000</v>
      </c>
    </row>
    <row r="37" spans="2:4" x14ac:dyDescent="0.25">
      <c r="C37" s="8"/>
      <c r="D37" s="8"/>
    </row>
    <row r="38" spans="2:4" x14ac:dyDescent="0.25">
      <c r="C38" s="69" t="s">
        <v>91</v>
      </c>
      <c r="D38" s="65" t="s">
        <v>125</v>
      </c>
    </row>
    <row r="39" spans="2:4" x14ac:dyDescent="0.25">
      <c r="B39" s="32" t="s">
        <v>90</v>
      </c>
      <c r="C39" s="96" t="s">
        <v>145</v>
      </c>
      <c r="D39" s="97" t="s">
        <v>145</v>
      </c>
    </row>
    <row r="40" spans="2:4" x14ac:dyDescent="0.25">
      <c r="B40" s="32" t="s">
        <v>95</v>
      </c>
      <c r="C40" s="98" t="s">
        <v>145</v>
      </c>
      <c r="D40" s="99" t="s">
        <v>145</v>
      </c>
    </row>
  </sheetData>
  <mergeCells count="8">
    <mergeCell ref="A5:G5"/>
    <mergeCell ref="A10:B10"/>
    <mergeCell ref="D12:I12"/>
    <mergeCell ref="K12:P12"/>
    <mergeCell ref="A14:A15"/>
    <mergeCell ref="A18:A19"/>
    <mergeCell ref="A22:A23"/>
    <mergeCell ref="A32:B32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98A58-3E8E-41FA-BD4E-8629DEE5CB3E}">
  <dimension ref="A1:P38"/>
  <sheetViews>
    <sheetView showGridLines="0" topLeftCell="A7" workbookViewId="0">
      <selection activeCell="E33" sqref="E33"/>
    </sheetView>
  </sheetViews>
  <sheetFormatPr baseColWidth="10" defaultRowHeight="15" x14ac:dyDescent="0.25"/>
  <cols>
    <col min="1" max="1" width="55.5703125" bestFit="1" customWidth="1"/>
    <col min="2" max="5" width="13.28515625" customWidth="1"/>
    <col min="10" max="10" width="5.7109375" customWidth="1"/>
  </cols>
  <sheetData>
    <row r="1" spans="1:16" ht="23.25" x14ac:dyDescent="0.35">
      <c r="A1" s="9" t="s">
        <v>163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02" t="s">
        <v>25</v>
      </c>
      <c r="B5" s="102"/>
      <c r="C5" s="102"/>
      <c r="D5" s="102"/>
      <c r="E5" s="102"/>
      <c r="F5" s="102"/>
      <c r="G5" s="102"/>
    </row>
    <row r="8" spans="1:16" ht="20.25" thickBot="1" x14ac:dyDescent="0.35">
      <c r="A8" s="10" t="s">
        <v>158</v>
      </c>
    </row>
    <row r="9" spans="1:16" ht="15.75" thickTop="1" x14ac:dyDescent="0.25"/>
    <row r="10" spans="1:16" ht="18" thickBot="1" x14ac:dyDescent="0.35">
      <c r="A10" s="117" t="s">
        <v>162</v>
      </c>
      <c r="B10" s="117"/>
      <c r="C10" s="117"/>
      <c r="D10" s="117"/>
    </row>
    <row r="11" spans="1:16" ht="15.75" thickTop="1" x14ac:dyDescent="0.25"/>
    <row r="12" spans="1:16" x14ac:dyDescent="0.25">
      <c r="A12" s="78" t="s">
        <v>159</v>
      </c>
      <c r="B12" s="78" t="s">
        <v>160</v>
      </c>
      <c r="D12" s="105" t="s">
        <v>65</v>
      </c>
      <c r="E12" s="105"/>
      <c r="F12" s="105"/>
      <c r="G12" s="105"/>
      <c r="H12" s="105"/>
      <c r="I12" s="105"/>
      <c r="K12" s="101" t="s">
        <v>66</v>
      </c>
      <c r="L12" s="101"/>
      <c r="M12" s="101"/>
      <c r="N12" s="101"/>
      <c r="O12" s="101"/>
      <c r="P12" s="101"/>
    </row>
    <row r="13" spans="1:16" ht="30" x14ac:dyDescent="0.25">
      <c r="A13" s="78"/>
      <c r="B13" s="78"/>
      <c r="D13" s="72" t="s">
        <v>107</v>
      </c>
      <c r="E13" s="72" t="s">
        <v>108</v>
      </c>
      <c r="F13" s="72" t="s">
        <v>109</v>
      </c>
      <c r="G13" s="72" t="s">
        <v>110</v>
      </c>
      <c r="H13" s="72" t="s">
        <v>111</v>
      </c>
      <c r="I13" s="73" t="s">
        <v>68</v>
      </c>
      <c r="K13" s="75" t="s">
        <v>112</v>
      </c>
      <c r="L13" s="75" t="s">
        <v>113</v>
      </c>
      <c r="M13" s="75" t="s">
        <v>114</v>
      </c>
      <c r="N13" s="75" t="s">
        <v>115</v>
      </c>
      <c r="O13" s="75" t="s">
        <v>116</v>
      </c>
      <c r="P13" s="76" t="s">
        <v>79</v>
      </c>
    </row>
    <row r="14" spans="1:16" ht="15.75" thickBot="1" x14ac:dyDescent="0.3">
      <c r="A14" s="104" t="s">
        <v>47</v>
      </c>
      <c r="B14" s="78" t="s">
        <v>69</v>
      </c>
      <c r="D14" s="74">
        <v>3725500</v>
      </c>
      <c r="E14" s="74">
        <v>1643600</v>
      </c>
      <c r="F14" s="74">
        <v>998600</v>
      </c>
      <c r="G14" s="74">
        <v>481900</v>
      </c>
      <c r="H14" s="74">
        <v>33500</v>
      </c>
      <c r="I14" s="74">
        <f>SUM(D14:H14)</f>
        <v>6883100</v>
      </c>
      <c r="J14" s="8"/>
      <c r="K14" s="77">
        <v>2411700</v>
      </c>
      <c r="L14" s="77">
        <v>1244300</v>
      </c>
      <c r="M14" s="77">
        <v>574000</v>
      </c>
      <c r="N14" s="77">
        <v>54400</v>
      </c>
      <c r="O14" s="77">
        <v>2100</v>
      </c>
      <c r="P14" s="77">
        <f>SUM(K14:O14)</f>
        <v>4286500</v>
      </c>
    </row>
    <row r="15" spans="1:16" ht="16.5" thickTop="1" thickBot="1" x14ac:dyDescent="0.3">
      <c r="A15" s="104"/>
      <c r="B15" s="79" t="s">
        <v>76</v>
      </c>
      <c r="C15" s="80"/>
      <c r="D15" s="81">
        <v>3762100</v>
      </c>
      <c r="E15" s="81">
        <v>3050900</v>
      </c>
      <c r="F15" s="81">
        <v>2479000</v>
      </c>
      <c r="G15" s="81">
        <v>1006400</v>
      </c>
      <c r="H15" s="81">
        <v>99800</v>
      </c>
      <c r="I15" s="81">
        <f t="shared" ref="I15:I23" si="0">SUM(D15:H15)</f>
        <v>10398200</v>
      </c>
      <c r="J15" s="82"/>
      <c r="K15" s="83">
        <v>3383500</v>
      </c>
      <c r="L15" s="83">
        <v>2682400</v>
      </c>
      <c r="M15" s="83">
        <v>1283500</v>
      </c>
      <c r="N15" s="83">
        <v>156200</v>
      </c>
      <c r="O15" s="83">
        <v>4900</v>
      </c>
      <c r="P15" s="84">
        <f t="shared" ref="P15:P23" si="1">SUM(K15:O15)</f>
        <v>7510500</v>
      </c>
    </row>
    <row r="16" spans="1:16" ht="15.75" thickTop="1" x14ac:dyDescent="0.25">
      <c r="A16" s="78"/>
      <c r="B16" s="78"/>
      <c r="D16" s="74"/>
      <c r="E16" s="74"/>
      <c r="F16" s="74"/>
      <c r="G16" s="74"/>
      <c r="H16" s="74"/>
      <c r="I16" s="74"/>
      <c r="J16" s="8"/>
      <c r="K16" s="77"/>
      <c r="L16" s="77"/>
      <c r="M16" s="77"/>
      <c r="N16" s="77"/>
      <c r="O16" s="77"/>
      <c r="P16" s="77"/>
    </row>
    <row r="17" spans="1:16" x14ac:dyDescent="0.25">
      <c r="A17" s="78"/>
      <c r="B17" s="78"/>
      <c r="D17" s="74"/>
      <c r="E17" s="74"/>
      <c r="F17" s="74"/>
      <c r="G17" s="74"/>
      <c r="H17" s="74"/>
      <c r="I17" s="74"/>
      <c r="J17" s="8"/>
      <c r="K17" s="77"/>
      <c r="L17" s="77"/>
      <c r="M17" s="77"/>
      <c r="N17" s="77"/>
      <c r="O17" s="77"/>
      <c r="P17" s="77"/>
    </row>
    <row r="18" spans="1:16" x14ac:dyDescent="0.25">
      <c r="A18" s="104" t="s">
        <v>70</v>
      </c>
      <c r="B18" s="78" t="s">
        <v>71</v>
      </c>
      <c r="D18" s="74">
        <v>716500</v>
      </c>
      <c r="E18" s="74">
        <v>340700</v>
      </c>
      <c r="F18" s="74">
        <v>141700</v>
      </c>
      <c r="G18" s="74">
        <v>36000</v>
      </c>
      <c r="H18" s="74">
        <v>4600</v>
      </c>
      <c r="I18" s="74">
        <f t="shared" si="0"/>
        <v>1239500</v>
      </c>
      <c r="J18" s="8"/>
      <c r="K18" s="77">
        <v>568900</v>
      </c>
      <c r="L18" s="77">
        <v>258600</v>
      </c>
      <c r="M18" s="77">
        <v>93100</v>
      </c>
      <c r="N18" s="77">
        <v>21100</v>
      </c>
      <c r="O18" s="77">
        <v>2200</v>
      </c>
      <c r="P18" s="77">
        <f t="shared" si="1"/>
        <v>943900</v>
      </c>
    </row>
    <row r="19" spans="1:16" x14ac:dyDescent="0.25">
      <c r="A19" s="104"/>
      <c r="B19" s="78" t="s">
        <v>72</v>
      </c>
      <c r="D19" s="74">
        <v>1289300</v>
      </c>
      <c r="E19" s="74">
        <v>787600</v>
      </c>
      <c r="F19" s="74">
        <v>383200</v>
      </c>
      <c r="G19" s="74">
        <v>74300</v>
      </c>
      <c r="H19" s="74">
        <v>13200</v>
      </c>
      <c r="I19" s="74">
        <f t="shared" si="0"/>
        <v>2547600</v>
      </c>
      <c r="J19" s="8"/>
      <c r="K19" s="77">
        <v>1058400</v>
      </c>
      <c r="L19" s="77">
        <v>609100</v>
      </c>
      <c r="M19" s="77">
        <v>175500</v>
      </c>
      <c r="N19" s="77">
        <v>32000</v>
      </c>
      <c r="O19" s="77">
        <v>7700</v>
      </c>
      <c r="P19" s="77">
        <f t="shared" si="1"/>
        <v>1882700</v>
      </c>
    </row>
    <row r="20" spans="1:16" x14ac:dyDescent="0.25">
      <c r="A20" s="78"/>
      <c r="B20" s="78"/>
      <c r="D20" s="74"/>
      <c r="E20" s="74"/>
      <c r="F20" s="74"/>
      <c r="G20" s="74"/>
      <c r="H20" s="74"/>
      <c r="I20" s="74"/>
      <c r="J20" s="8"/>
      <c r="K20" s="77"/>
      <c r="L20" s="77"/>
      <c r="M20" s="77"/>
      <c r="N20" s="77"/>
      <c r="O20" s="77"/>
      <c r="P20" s="77"/>
    </row>
    <row r="21" spans="1:16" x14ac:dyDescent="0.25">
      <c r="A21" s="78"/>
      <c r="B21" s="78"/>
      <c r="D21" s="91"/>
      <c r="E21" s="74"/>
      <c r="F21" s="74"/>
      <c r="G21" s="74"/>
      <c r="H21" s="74"/>
      <c r="I21" s="74"/>
      <c r="J21" s="8"/>
      <c r="K21" s="77"/>
      <c r="L21" s="77"/>
      <c r="M21" s="77"/>
      <c r="N21" s="77"/>
      <c r="O21" s="77"/>
      <c r="P21" s="77"/>
    </row>
    <row r="22" spans="1:16" x14ac:dyDescent="0.25">
      <c r="A22" s="104" t="s">
        <v>73</v>
      </c>
      <c r="B22" s="78" t="s">
        <v>74</v>
      </c>
      <c r="D22" s="74">
        <v>303900</v>
      </c>
      <c r="E22" s="74">
        <v>69900</v>
      </c>
      <c r="F22" s="74">
        <v>3900</v>
      </c>
      <c r="G22" s="74">
        <v>0</v>
      </c>
      <c r="H22" s="74">
        <v>0</v>
      </c>
      <c r="I22" s="74">
        <f t="shared" si="0"/>
        <v>377700</v>
      </c>
      <c r="J22" s="8"/>
      <c r="K22" s="77">
        <v>123200</v>
      </c>
      <c r="L22" s="77">
        <v>17600</v>
      </c>
      <c r="M22" s="77">
        <v>400</v>
      </c>
      <c r="N22" s="77">
        <v>0</v>
      </c>
      <c r="O22" s="77">
        <v>0</v>
      </c>
      <c r="P22" s="77">
        <f t="shared" si="1"/>
        <v>141200</v>
      </c>
    </row>
    <row r="23" spans="1:16" x14ac:dyDescent="0.25">
      <c r="A23" s="104"/>
      <c r="B23" s="78" t="s">
        <v>75</v>
      </c>
      <c r="D23" s="74">
        <v>419800</v>
      </c>
      <c r="E23" s="74">
        <v>51900</v>
      </c>
      <c r="F23" s="74">
        <v>3000</v>
      </c>
      <c r="G23" s="74">
        <v>700</v>
      </c>
      <c r="H23" s="74">
        <v>0</v>
      </c>
      <c r="I23" s="74">
        <f t="shared" si="0"/>
        <v>475400</v>
      </c>
      <c r="J23" s="8"/>
      <c r="K23" s="77">
        <v>121500</v>
      </c>
      <c r="L23" s="77">
        <v>10900</v>
      </c>
      <c r="M23" s="77">
        <v>400</v>
      </c>
      <c r="N23" s="77">
        <v>0</v>
      </c>
      <c r="O23" s="77">
        <v>0</v>
      </c>
      <c r="P23" s="77">
        <f t="shared" si="1"/>
        <v>132800</v>
      </c>
    </row>
    <row r="26" spans="1:16" ht="20.25" thickBot="1" x14ac:dyDescent="0.35">
      <c r="A26" s="10" t="s">
        <v>161</v>
      </c>
    </row>
    <row r="27" spans="1:16" ht="15.75" thickTop="1" x14ac:dyDescent="0.25"/>
    <row r="28" spans="1:16" ht="18" thickBot="1" x14ac:dyDescent="0.35">
      <c r="A28" s="103" t="s">
        <v>24</v>
      </c>
      <c r="B28" s="103"/>
    </row>
    <row r="29" spans="1:16" ht="15.75" thickTop="1" x14ac:dyDescent="0.25"/>
    <row r="30" spans="1:16" x14ac:dyDescent="0.25">
      <c r="A30" s="78"/>
      <c r="B30" s="74" t="s">
        <v>65</v>
      </c>
      <c r="C30" s="77" t="s">
        <v>66</v>
      </c>
    </row>
    <row r="31" spans="1:16" x14ac:dyDescent="0.25">
      <c r="A31" s="189" t="s">
        <v>156</v>
      </c>
      <c r="B31" s="74">
        <f>I15</f>
        <v>10398200</v>
      </c>
      <c r="C31" s="77">
        <f>P15</f>
        <v>7510500</v>
      </c>
    </row>
    <row r="32" spans="1:16" x14ac:dyDescent="0.25">
      <c r="A32" s="189" t="s">
        <v>157</v>
      </c>
      <c r="B32" s="74">
        <f>'Agglomeration road'!C18</f>
        <v>20796420.796399999</v>
      </c>
      <c r="C32" s="77">
        <f>'Agglomeration road'!C19</f>
        <v>15021000</v>
      </c>
    </row>
    <row r="33" spans="1:5" x14ac:dyDescent="0.25">
      <c r="B33" s="8"/>
      <c r="C33" s="8"/>
    </row>
    <row r="34" spans="1:5" x14ac:dyDescent="0.25">
      <c r="A34" s="188" t="s">
        <v>93</v>
      </c>
      <c r="B34" s="187" t="s">
        <v>90</v>
      </c>
      <c r="C34" s="187" t="s">
        <v>169</v>
      </c>
      <c r="D34" s="187" t="s">
        <v>95</v>
      </c>
      <c r="E34" s="187" t="s">
        <v>168</v>
      </c>
    </row>
    <row r="35" spans="1:5" x14ac:dyDescent="0.25">
      <c r="A35" s="188" t="s">
        <v>164</v>
      </c>
      <c r="B35" s="186" t="s">
        <v>145</v>
      </c>
      <c r="C35" s="186" t="s">
        <v>145</v>
      </c>
      <c r="D35" s="186" t="s">
        <v>145</v>
      </c>
      <c r="E35" s="186" t="s">
        <v>145</v>
      </c>
    </row>
    <row r="36" spans="1:5" x14ac:dyDescent="0.25">
      <c r="A36" s="188" t="s">
        <v>165</v>
      </c>
      <c r="B36" s="186" t="s">
        <v>145</v>
      </c>
      <c r="C36" s="186" t="s">
        <v>145</v>
      </c>
      <c r="D36" s="186" t="s">
        <v>145</v>
      </c>
      <c r="E36" s="186" t="s">
        <v>145</v>
      </c>
    </row>
    <row r="37" spans="1:5" x14ac:dyDescent="0.25">
      <c r="A37" s="188" t="s">
        <v>167</v>
      </c>
      <c r="B37" s="186" t="s">
        <v>145</v>
      </c>
      <c r="C37" s="186" t="s">
        <v>145</v>
      </c>
      <c r="D37" s="186" t="s">
        <v>145</v>
      </c>
      <c r="E37" s="186" t="s">
        <v>145</v>
      </c>
    </row>
    <row r="38" spans="1:5" x14ac:dyDescent="0.25">
      <c r="A38" s="188" t="s">
        <v>166</v>
      </c>
      <c r="B38" s="186" t="s">
        <v>145</v>
      </c>
      <c r="C38" s="186" t="s">
        <v>145</v>
      </c>
      <c r="D38" s="186" t="s">
        <v>145</v>
      </c>
      <c r="E38" s="186" t="s">
        <v>145</v>
      </c>
    </row>
  </sheetData>
  <mergeCells count="7">
    <mergeCell ref="A5:G5"/>
    <mergeCell ref="D12:I12"/>
    <mergeCell ref="K12:P12"/>
    <mergeCell ref="A14:A15"/>
    <mergeCell ref="A18:A19"/>
    <mergeCell ref="A22:A23"/>
    <mergeCell ref="A28:B28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W87"/>
  <sheetViews>
    <sheetView topLeftCell="A43" zoomScaleNormal="100" workbookViewId="0">
      <selection activeCell="G77" sqref="G77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49" bestFit="1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32</v>
      </c>
    </row>
    <row r="5" spans="1:9" ht="15.75" thickTop="1" x14ac:dyDescent="0.25"/>
    <row r="6" spans="1:9" ht="15.75" thickBot="1" x14ac:dyDescent="0.3">
      <c r="A6" s="13" t="s">
        <v>29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65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66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27</v>
      </c>
    </row>
    <row r="12" spans="1:9" ht="45" x14ac:dyDescent="0.25">
      <c r="C12" s="1" t="s">
        <v>103</v>
      </c>
      <c r="D12" s="1" t="s">
        <v>102</v>
      </c>
      <c r="E12" s="1" t="s">
        <v>101</v>
      </c>
      <c r="F12" s="1" t="s">
        <v>104</v>
      </c>
      <c r="G12" s="1" t="s">
        <v>105</v>
      </c>
      <c r="H12" s="1" t="s">
        <v>106</v>
      </c>
      <c r="I12" s="1" t="s">
        <v>67</v>
      </c>
    </row>
    <row r="13" spans="1:9" x14ac:dyDescent="0.25">
      <c r="B13" s="1" t="s">
        <v>65</v>
      </c>
      <c r="C13" s="6">
        <f>Frontend!$I$15*C8</f>
        <v>14817.435000000001</v>
      </c>
      <c r="D13" s="6">
        <f>Frontend!$I$15*D8</f>
        <v>43360.493999999999</v>
      </c>
      <c r="E13" s="6">
        <f>Frontend!$I$15*E8</f>
        <v>175282.45740000001</v>
      </c>
      <c r="F13" s="6">
        <f>Frontend!$I$15*F8</f>
        <v>708356.57860000001</v>
      </c>
      <c r="G13" s="6">
        <f>Frontend!$I$15*G8</f>
        <v>2895888.3018</v>
      </c>
      <c r="H13" s="6">
        <f>Frontend!$I$15*H8</f>
        <v>6560515.5296</v>
      </c>
      <c r="I13" s="6">
        <f>SUM(C13:H13)</f>
        <v>10398220.796399999</v>
      </c>
    </row>
    <row r="14" spans="1:9" x14ac:dyDescent="0.25">
      <c r="B14" t="s">
        <v>66</v>
      </c>
      <c r="C14" s="6">
        <f>Frontend!$P$15*C9</f>
        <v>64582.789500000006</v>
      </c>
      <c r="D14" s="6">
        <f>Frontend!$P$15*D9</f>
        <v>239111.78849999997</v>
      </c>
      <c r="E14" s="6">
        <f>Frontend!$P$15*E9</f>
        <v>1126116.8595</v>
      </c>
      <c r="F14" s="6">
        <f>Frontend!$P$15*F9</f>
        <v>2838600.9855</v>
      </c>
      <c r="G14" s="6">
        <f>Frontend!$P$15*G9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28</v>
      </c>
    </row>
    <row r="17" spans="1:13" x14ac:dyDescent="0.25">
      <c r="C17" t="s">
        <v>30</v>
      </c>
    </row>
    <row r="18" spans="1:13" x14ac:dyDescent="0.25">
      <c r="B18" s="1" t="s">
        <v>65</v>
      </c>
      <c r="C18" s="8">
        <f>Frontend!$I$15+I13</f>
        <v>20796420.796399999</v>
      </c>
    </row>
    <row r="19" spans="1:13" x14ac:dyDescent="0.25">
      <c r="B19" t="s">
        <v>66</v>
      </c>
      <c r="C19" s="8">
        <f>Frontend!$P$15+I14</f>
        <v>15021000</v>
      </c>
    </row>
    <row r="22" spans="1:13" ht="18" thickBot="1" x14ac:dyDescent="0.35">
      <c r="A22" s="11" t="s">
        <v>33</v>
      </c>
    </row>
    <row r="23" spans="1:13" ht="15.75" thickTop="1" x14ac:dyDescent="0.25"/>
    <row r="24" spans="1:13" x14ac:dyDescent="0.25">
      <c r="B24" t="s">
        <v>61</v>
      </c>
    </row>
    <row r="27" spans="1:13" ht="18" thickBot="1" x14ac:dyDescent="0.35">
      <c r="A27" s="14" t="s">
        <v>34</v>
      </c>
    </row>
    <row r="28" spans="1:13" ht="15.75" thickTop="1" x14ac:dyDescent="0.25"/>
    <row r="29" spans="1:13" x14ac:dyDescent="0.25">
      <c r="B29" t="s">
        <v>35</v>
      </c>
      <c r="C29" t="s">
        <v>36</v>
      </c>
      <c r="D29" t="s">
        <v>37</v>
      </c>
      <c r="E29" t="s">
        <v>38</v>
      </c>
      <c r="F29" t="s">
        <v>39</v>
      </c>
      <c r="G29" s="4" t="s">
        <v>148</v>
      </c>
      <c r="H29" t="s">
        <v>150</v>
      </c>
      <c r="I29" t="s">
        <v>78</v>
      </c>
      <c r="J29" t="s">
        <v>41</v>
      </c>
      <c r="K29" t="s">
        <v>42</v>
      </c>
      <c r="L29" t="s">
        <v>63</v>
      </c>
      <c r="M29" t="s">
        <v>40</v>
      </c>
    </row>
    <row r="30" spans="1:13" x14ac:dyDescent="0.25">
      <c r="B30" t="s">
        <v>86</v>
      </c>
      <c r="C30" t="s">
        <v>44</v>
      </c>
      <c r="D30" t="s">
        <v>45</v>
      </c>
      <c r="E30" t="s">
        <v>46</v>
      </c>
      <c r="F30" t="s">
        <v>47</v>
      </c>
      <c r="G30" t="s">
        <v>146</v>
      </c>
      <c r="H30" t="s">
        <v>48</v>
      </c>
      <c r="I30" s="26">
        <v>45</v>
      </c>
      <c r="J30">
        <v>1.0999999999999999E-2</v>
      </c>
      <c r="K30">
        <v>1</v>
      </c>
      <c r="L30">
        <v>1</v>
      </c>
      <c r="M30" t="s">
        <v>49</v>
      </c>
    </row>
    <row r="31" spans="1:13" x14ac:dyDescent="0.25">
      <c r="B31" t="s">
        <v>87</v>
      </c>
      <c r="C31" t="s">
        <v>44</v>
      </c>
      <c r="D31" t="s">
        <v>45</v>
      </c>
      <c r="E31" t="s">
        <v>46</v>
      </c>
      <c r="F31" t="s">
        <v>47</v>
      </c>
      <c r="G31" t="s">
        <v>147</v>
      </c>
      <c r="H31" t="s">
        <v>51</v>
      </c>
      <c r="I31" s="26">
        <v>40</v>
      </c>
      <c r="J31">
        <v>0.01</v>
      </c>
      <c r="K31">
        <v>1</v>
      </c>
      <c r="L31">
        <v>1</v>
      </c>
      <c r="M31" t="s">
        <v>52</v>
      </c>
    </row>
    <row r="32" spans="1:13" x14ac:dyDescent="0.25">
      <c r="B32" t="s">
        <v>53</v>
      </c>
      <c r="C32" t="s">
        <v>54</v>
      </c>
      <c r="D32" t="s">
        <v>55</v>
      </c>
      <c r="E32" t="s">
        <v>46</v>
      </c>
      <c r="F32" t="s">
        <v>47</v>
      </c>
      <c r="G32" s="8" t="s">
        <v>151</v>
      </c>
      <c r="H32" t="s">
        <v>48</v>
      </c>
      <c r="I32" s="26">
        <v>45</v>
      </c>
      <c r="K32">
        <v>0</v>
      </c>
      <c r="L32">
        <v>1</v>
      </c>
      <c r="M32" t="s">
        <v>56</v>
      </c>
    </row>
    <row r="33" spans="1:23" x14ac:dyDescent="0.25">
      <c r="B33" t="s">
        <v>88</v>
      </c>
      <c r="C33" t="s">
        <v>54</v>
      </c>
      <c r="D33" t="s">
        <v>55</v>
      </c>
      <c r="E33" t="s">
        <v>46</v>
      </c>
      <c r="F33" t="s">
        <v>47</v>
      </c>
      <c r="G33" s="8" t="s">
        <v>152</v>
      </c>
      <c r="H33" t="s">
        <v>48</v>
      </c>
      <c r="I33">
        <v>45</v>
      </c>
      <c r="K33">
        <v>0</v>
      </c>
      <c r="L33">
        <v>1</v>
      </c>
      <c r="M33" t="s">
        <v>58</v>
      </c>
    </row>
    <row r="34" spans="1:23" x14ac:dyDescent="0.25">
      <c r="B34" t="s">
        <v>59</v>
      </c>
      <c r="C34" t="s">
        <v>54</v>
      </c>
      <c r="D34" t="s">
        <v>55</v>
      </c>
      <c r="E34" t="s">
        <v>46</v>
      </c>
      <c r="F34" t="s">
        <v>47</v>
      </c>
      <c r="G34" s="8" t="s">
        <v>153</v>
      </c>
      <c r="H34" t="s">
        <v>48</v>
      </c>
      <c r="I34">
        <v>45</v>
      </c>
      <c r="K34">
        <v>0</v>
      </c>
      <c r="L34">
        <v>1</v>
      </c>
      <c r="M34" t="s">
        <v>60</v>
      </c>
    </row>
    <row r="35" spans="1:23" x14ac:dyDescent="0.25">
      <c r="B35" t="s">
        <v>89</v>
      </c>
      <c r="C35" t="s">
        <v>54</v>
      </c>
      <c r="D35" t="s">
        <v>55</v>
      </c>
      <c r="E35" t="s">
        <v>46</v>
      </c>
      <c r="F35" t="s">
        <v>47</v>
      </c>
      <c r="G35" s="8" t="s">
        <v>149</v>
      </c>
      <c r="H35" t="s">
        <v>48</v>
      </c>
      <c r="I35">
        <v>53</v>
      </c>
      <c r="K35">
        <v>1</v>
      </c>
      <c r="L35">
        <v>0</v>
      </c>
      <c r="M35" t="s">
        <v>64</v>
      </c>
    </row>
    <row r="38" spans="1:23" ht="18" thickBot="1" x14ac:dyDescent="0.35">
      <c r="A38" s="12" t="s">
        <v>81</v>
      </c>
    </row>
    <row r="39" spans="1:23" ht="15.75" thickTop="1" x14ac:dyDescent="0.25"/>
    <row r="40" spans="1:23" x14ac:dyDescent="0.25">
      <c r="C40" s="15"/>
      <c r="D40" s="15"/>
      <c r="E40" s="15"/>
      <c r="G40" s="136" t="s">
        <v>83</v>
      </c>
      <c r="H40" s="136"/>
      <c r="I40" s="136"/>
      <c r="J40" s="136"/>
      <c r="K40" s="136"/>
      <c r="L40" s="136"/>
      <c r="M40" s="126" t="s">
        <v>82</v>
      </c>
      <c r="N40" s="106"/>
      <c r="O40" s="106"/>
      <c r="P40" s="106"/>
      <c r="Q40" s="106"/>
    </row>
    <row r="41" spans="1:23" ht="30" x14ac:dyDescent="0.25">
      <c r="F41" s="15" t="s">
        <v>134</v>
      </c>
      <c r="G41" s="72" t="s">
        <v>103</v>
      </c>
      <c r="H41" s="72" t="s">
        <v>102</v>
      </c>
      <c r="I41" s="72" t="s">
        <v>101</v>
      </c>
      <c r="J41" s="72" t="s">
        <v>104</v>
      </c>
      <c r="K41" s="72" t="s">
        <v>105</v>
      </c>
      <c r="L41" s="72" t="s">
        <v>106</v>
      </c>
      <c r="M41" s="127" t="s">
        <v>107</v>
      </c>
      <c r="N41" s="128" t="s">
        <v>108</v>
      </c>
      <c r="O41" s="128" t="s">
        <v>109</v>
      </c>
      <c r="P41" s="128" t="s">
        <v>110</v>
      </c>
      <c r="Q41" s="128" t="s">
        <v>111</v>
      </c>
    </row>
    <row r="42" spans="1:23" x14ac:dyDescent="0.25">
      <c r="A42" s="113" t="s">
        <v>92</v>
      </c>
      <c r="B42" s="40" t="s">
        <v>77</v>
      </c>
      <c r="C42" s="18"/>
      <c r="D42" s="18"/>
      <c r="E42" s="18"/>
      <c r="F42" s="28">
        <f>SUM(G42:Q42)</f>
        <v>20796420.796399999</v>
      </c>
      <c r="G42" s="137">
        <f>C13</f>
        <v>14817.435000000001</v>
      </c>
      <c r="H42" s="137">
        <f>D13</f>
        <v>43360.493999999999</v>
      </c>
      <c r="I42" s="137">
        <f>E13</f>
        <v>175282.45740000001</v>
      </c>
      <c r="J42" s="137">
        <f>F13</f>
        <v>708356.57860000001</v>
      </c>
      <c r="K42" s="137">
        <f>G13</f>
        <v>2895888.3018</v>
      </c>
      <c r="L42" s="137">
        <f>H13</f>
        <v>6560515.5296</v>
      </c>
      <c r="M42" s="129">
        <f>Frontend!D15</f>
        <v>3762100</v>
      </c>
      <c r="N42" s="53">
        <f>Frontend!E15</f>
        <v>3050900</v>
      </c>
      <c r="O42" s="53">
        <f>Frontend!F15</f>
        <v>2479000</v>
      </c>
      <c r="P42" s="53">
        <f>Frontend!G15</f>
        <v>1006400</v>
      </c>
      <c r="Q42" s="53">
        <f>Frontend!H15</f>
        <v>99800</v>
      </c>
      <c r="S42" s="8"/>
      <c r="T42" s="8"/>
      <c r="U42" s="8"/>
      <c r="V42" s="8"/>
      <c r="W42" s="8"/>
    </row>
    <row r="43" spans="1:23" x14ac:dyDescent="0.25">
      <c r="A43" s="114"/>
      <c r="B43" s="15" t="s">
        <v>97</v>
      </c>
      <c r="C43" s="15"/>
      <c r="D43" s="15"/>
      <c r="E43" s="15"/>
      <c r="F43" s="15"/>
      <c r="G43" s="138">
        <v>27</v>
      </c>
      <c r="H43" s="138">
        <v>32</v>
      </c>
      <c r="I43" s="138">
        <v>37</v>
      </c>
      <c r="J43" s="138">
        <v>42</v>
      </c>
      <c r="K43" s="138">
        <v>47</v>
      </c>
      <c r="L43" s="138">
        <v>52</v>
      </c>
      <c r="M43" s="130">
        <v>57</v>
      </c>
      <c r="N43" s="54">
        <v>62</v>
      </c>
      <c r="O43" s="54">
        <v>67</v>
      </c>
      <c r="P43" s="54">
        <v>72</v>
      </c>
      <c r="Q43" s="131">
        <v>77</v>
      </c>
    </row>
    <row r="44" spans="1:23" s="15" customFormat="1" x14ac:dyDescent="0.25">
      <c r="A44" s="115"/>
      <c r="B44" s="27" t="s">
        <v>98</v>
      </c>
      <c r="C44" s="16"/>
      <c r="D44" s="16"/>
      <c r="E44" s="16"/>
      <c r="F44" s="16"/>
      <c r="G44" s="139">
        <f>G42/$F$42</f>
        <v>7.1249928750071259E-4</v>
      </c>
      <c r="H44" s="139">
        <f t="shared" ref="H44:Q44" si="0">H42/$F$42</f>
        <v>2.0849979150020848E-3</v>
      </c>
      <c r="I44" s="139">
        <f t="shared" si="0"/>
        <v>8.4284915715084289E-3</v>
      </c>
      <c r="J44" s="139">
        <f t="shared" si="0"/>
        <v>3.4061465938534062E-2</v>
      </c>
      <c r="K44" s="139">
        <f t="shared" si="0"/>
        <v>0.13924936075063926</v>
      </c>
      <c r="L44" s="139">
        <f t="shared" si="0"/>
        <v>0.31546368453631546</v>
      </c>
      <c r="M44" s="134">
        <f t="shared" si="0"/>
        <v>0.18090132128174888</v>
      </c>
      <c r="N44" s="57">
        <f t="shared" si="0"/>
        <v>0.14670312886379619</v>
      </c>
      <c r="O44" s="57">
        <f t="shared" si="0"/>
        <v>0.11920320444896612</v>
      </c>
      <c r="P44" s="57">
        <f t="shared" si="0"/>
        <v>4.8392942701669828E-2</v>
      </c>
      <c r="Q44" s="57">
        <f t="shared" si="0"/>
        <v>4.7989027043190075E-3</v>
      </c>
    </row>
    <row r="45" spans="1:23" s="15" customFormat="1" x14ac:dyDescent="0.25">
      <c r="A45" s="100" t="s">
        <v>93</v>
      </c>
      <c r="C45" s="118" t="s">
        <v>91</v>
      </c>
      <c r="D45" s="160" t="s">
        <v>165</v>
      </c>
      <c r="E45" s="161" t="s">
        <v>167</v>
      </c>
      <c r="F45" s="152" t="s">
        <v>125</v>
      </c>
      <c r="G45" s="138"/>
      <c r="H45" s="138"/>
      <c r="I45" s="138"/>
      <c r="J45" s="138"/>
      <c r="K45" s="138"/>
      <c r="L45" s="138"/>
      <c r="M45" s="130"/>
      <c r="N45" s="54"/>
      <c r="O45" s="54"/>
      <c r="P45" s="54"/>
      <c r="Q45" s="54"/>
    </row>
    <row r="46" spans="1:23" x14ac:dyDescent="0.25">
      <c r="A46" s="190" t="s">
        <v>53</v>
      </c>
      <c r="B46" s="17" t="s">
        <v>99</v>
      </c>
      <c r="C46" s="67"/>
      <c r="D46" s="67"/>
      <c r="E46" s="67"/>
      <c r="F46" s="153"/>
      <c r="G46" s="140">
        <f>IF(G43&gt;$I$32, EXP((LN(1.055)/10)*(G43-$I$32)),1)</f>
        <v>1</v>
      </c>
      <c r="H46" s="140">
        <f>IF(H43&gt;$I$32, EXP((LN(1.055)/10)*(H43-$I$32)),1)</f>
        <v>1</v>
      </c>
      <c r="I46" s="140">
        <f>IF(I43&gt;$I$32, EXP((LN(1.055)/10)*(I43-$I$32)),1)</f>
        <v>1</v>
      </c>
      <c r="J46" s="140">
        <f>IF(J43&gt;$I$32, EXP((LN(1.055)/10)*(J43-$I$32)),1)</f>
        <v>1</v>
      </c>
      <c r="K46" s="140">
        <f>IF(K43&gt;$I$32, EXP((LN(1.055)/10)*(K43-$I$32)),1)</f>
        <v>1.0107656908500073</v>
      </c>
      <c r="L46" s="140">
        <f>IF(L43&gt;$I$32, EXP((LN(1.055)/10)*(L43-$I$32)),1)</f>
        <v>1.0381897140207395</v>
      </c>
      <c r="M46" s="132">
        <f>IF(M43&gt;$I$32, EXP((LN(1.055)/10)*(M43-$I$32)),1)</f>
        <v>1.0663578038467578</v>
      </c>
      <c r="N46" s="55">
        <f>IF(N43&gt;$I$32, EXP((LN(1.055)/10)*(N43-$I$32)),1)</f>
        <v>1.09529014829188</v>
      </c>
      <c r="O46" s="55">
        <f>IF(O43&gt;$I$32, EXP((LN(1.055)/10)*(O43-$I$32)),1)</f>
        <v>1.1250074830583294</v>
      </c>
      <c r="P46" s="55">
        <f>IF(P43&gt;$I$32, EXP((LN(1.055)/10)*(P43-$I$32)),1)</f>
        <v>1.1555311064479334</v>
      </c>
      <c r="Q46" s="55">
        <f>IF(Q43&gt;$I$32, EXP((LN(1.055)/10)*(Q43-$I$32)),1)</f>
        <v>1.1868828946265373</v>
      </c>
    </row>
    <row r="47" spans="1:23" x14ac:dyDescent="0.25">
      <c r="A47" s="191"/>
      <c r="B47" s="15" t="s">
        <v>80</v>
      </c>
      <c r="C47" s="68">
        <f>SUM(M47:Q47)</f>
        <v>4.9308310609276644E-2</v>
      </c>
      <c r="D47" s="68"/>
      <c r="E47" s="68"/>
      <c r="F47" s="152">
        <f>SUM(G47:Q47)</f>
        <v>6.2854894074549819E-2</v>
      </c>
      <c r="G47" s="141">
        <f>G44*(G46-1)</f>
        <v>0</v>
      </c>
      <c r="H47" s="141">
        <f>H44*(H46-1)</f>
        <v>0</v>
      </c>
      <c r="I47" s="141">
        <f>I44*(I46-1)</f>
        <v>0</v>
      </c>
      <c r="J47" s="141">
        <f>J44*(J46-1)</f>
        <v>0</v>
      </c>
      <c r="K47" s="141">
        <f>K44*(K46-1)</f>
        <v>1.4991155689025278E-3</v>
      </c>
      <c r="L47" s="141">
        <f>L44*(L46-1)</f>
        <v>1.2047467896370654E-2</v>
      </c>
      <c r="M47" s="133">
        <f>M44*(M46-1)</f>
        <v>1.2004214393233608E-2</v>
      </c>
      <c r="N47" s="56">
        <f>N44*(N46-1)</f>
        <v>1.3979362904313918E-2</v>
      </c>
      <c r="O47" s="56">
        <f>O44*(O46-1)</f>
        <v>1.4901292560652712E-2</v>
      </c>
      <c r="P47" s="56">
        <f>P44*(P46-1)</f>
        <v>7.5266079226621535E-3</v>
      </c>
      <c r="Q47" s="56">
        <f>Q44*(Q46-1)</f>
        <v>8.9683282841425394E-4</v>
      </c>
    </row>
    <row r="48" spans="1:23" x14ac:dyDescent="0.25">
      <c r="A48" s="191"/>
      <c r="B48" s="15" t="s">
        <v>100</v>
      </c>
      <c r="C48" s="68">
        <f>(C47)/(1+C47)</f>
        <v>4.6991251389828383E-2</v>
      </c>
      <c r="D48" s="68"/>
      <c r="E48" s="68"/>
      <c r="F48" s="154">
        <f>(F47)/(1+F47)</f>
        <v>5.9137794279320602E-2</v>
      </c>
      <c r="G48" s="138"/>
      <c r="H48" s="138"/>
      <c r="I48" s="138"/>
      <c r="J48" s="138"/>
      <c r="K48" s="138"/>
      <c r="L48" s="138"/>
      <c r="M48" s="130"/>
      <c r="N48" s="54"/>
      <c r="O48" s="54"/>
      <c r="P48" s="54"/>
      <c r="Q48" s="54"/>
    </row>
    <row r="49" spans="1:17" x14ac:dyDescent="0.25">
      <c r="A49" s="192"/>
      <c r="B49" s="41" t="s">
        <v>170</v>
      </c>
      <c r="C49" s="151">
        <f>0.2069215*C48*F42</f>
        <v>202214.00228176778</v>
      </c>
      <c r="D49" s="71"/>
      <c r="E49" s="71"/>
      <c r="F49" s="155">
        <f>0.2069215*F48*F42</f>
        <v>254483.32856966133</v>
      </c>
      <c r="G49" s="139"/>
      <c r="H49" s="139"/>
      <c r="I49" s="139"/>
      <c r="J49" s="139"/>
      <c r="K49" s="139"/>
      <c r="L49" s="139"/>
      <c r="M49" s="134"/>
      <c r="N49" s="57"/>
      <c r="O49" s="57"/>
      <c r="P49" s="57"/>
      <c r="Q49" s="57"/>
    </row>
    <row r="50" spans="1:17" x14ac:dyDescent="0.25">
      <c r="A50" s="113" t="s">
        <v>57</v>
      </c>
      <c r="B50" s="17" t="s">
        <v>99</v>
      </c>
      <c r="C50" s="67"/>
      <c r="D50" s="67"/>
      <c r="E50" s="67"/>
      <c r="F50" s="153"/>
      <c r="G50" s="140">
        <f>IF(G43&gt;$I$33, EXP((LN(1.032)/10)*(G43-$I$33)),1)</f>
        <v>1</v>
      </c>
      <c r="H50" s="140">
        <f>IF(H43&gt;$I$33, EXP((LN(1.032)/10)*(H43-$I$33)),1)</f>
        <v>1</v>
      </c>
      <c r="I50" s="140">
        <f>IF(I43&gt;$I$33, EXP((LN(1.032)/10)*(I43-$I$33)),1)</f>
        <v>1</v>
      </c>
      <c r="J50" s="140">
        <f>IF(J43&gt;$I$33, EXP((LN(1.032)/10)*(J43-$I$33)),1)</f>
        <v>1</v>
      </c>
      <c r="K50" s="140">
        <f>IF(K43&gt;$I$33, EXP((LN(1.032)/10)*(K43-$I$33)),1)</f>
        <v>1.0063196184673233</v>
      </c>
      <c r="L50" s="140">
        <f>IF(L43&gt;$I$33, EXP((LN(1.032)/10)*(L43-$I$33)),1)</f>
        <v>1.0222939440770498</v>
      </c>
      <c r="M50" s="132">
        <f>IF(M43&gt;$I$33, EXP((LN(1.032)/10)*(M43-$I$33)),1)</f>
        <v>1.0385218462582777</v>
      </c>
      <c r="N50" s="55">
        <f>IF(N43&gt;$I$33, EXP((LN(1.032)/10)*(N43-$I$33)),1)</f>
        <v>1.0550073502875155</v>
      </c>
      <c r="O50" s="55">
        <f>IF(O43&gt;$I$33, EXP((LN(1.032)/10)*(O43-$I$33)),1)</f>
        <v>1.0717545453385426</v>
      </c>
      <c r="P50" s="55">
        <f>IF(P43&gt;$I$33, EXP((LN(1.032)/10)*(P43-$I$33)),1)</f>
        <v>1.088767585496716</v>
      </c>
      <c r="Q50" s="55">
        <f>IF(Q43&gt;$I$33, EXP((LN(1.032)/10)*(Q43-$I$33)),1)</f>
        <v>1.1060506907893759</v>
      </c>
    </row>
    <row r="51" spans="1:17" x14ac:dyDescent="0.25">
      <c r="A51" s="114"/>
      <c r="B51" s="15" t="s">
        <v>80</v>
      </c>
      <c r="C51" s="68">
        <f>SUM(M51:Q51)</f>
        <v>2.8396426647685286E-2</v>
      </c>
      <c r="D51" s="68"/>
      <c r="E51" s="68"/>
      <c r="F51" s="152">
        <f>SUM(G51:Q51)</f>
        <v>3.6309359220840685E-2</v>
      </c>
      <c r="G51" s="138">
        <f>G44*(G50-1)</f>
        <v>0</v>
      </c>
      <c r="H51" s="138">
        <f>H44*(H50-1)</f>
        <v>0</v>
      </c>
      <c r="I51" s="138">
        <f>I44*(I50-1)</f>
        <v>0</v>
      </c>
      <c r="J51" s="138">
        <f>J44*(J50-1)</f>
        <v>0</v>
      </c>
      <c r="K51" s="138">
        <f>K44*(K50-1)</f>
        <v>8.8000283176270673E-4</v>
      </c>
      <c r="L51" s="138">
        <f>L44*(L50-1)</f>
        <v>7.0329297413926854E-3</v>
      </c>
      <c r="M51" s="130">
        <f>M44*(M50-1)</f>
        <v>6.9686528863348307E-3</v>
      </c>
      <c r="N51" s="54">
        <f>N44*(N50-1)</f>
        <v>8.0697503976853574E-3</v>
      </c>
      <c r="O51" s="54">
        <f>O44*(O50-1)</f>
        <v>8.5533717381329078E-3</v>
      </c>
      <c r="P51" s="54">
        <f>P44*(P50-1)</f>
        <v>4.2957246787081573E-3</v>
      </c>
      <c r="Q51" s="54">
        <f>Q44*(Q50-1)</f>
        <v>5.0892694682403491E-4</v>
      </c>
    </row>
    <row r="52" spans="1:17" x14ac:dyDescent="0.25">
      <c r="A52" s="114"/>
      <c r="B52" s="15" t="s">
        <v>100</v>
      </c>
      <c r="C52" s="68">
        <f>C51/(1+C51)</f>
        <v>2.7612335002223338E-2</v>
      </c>
      <c r="D52" s="68"/>
      <c r="E52" s="68"/>
      <c r="F52" s="152">
        <f>F51/(1+F51)</f>
        <v>3.503718160775874E-2</v>
      </c>
      <c r="G52" s="138"/>
      <c r="H52" s="138"/>
      <c r="I52" s="138"/>
      <c r="J52" s="138"/>
      <c r="K52" s="138"/>
      <c r="L52" s="138"/>
      <c r="M52" s="130"/>
      <c r="N52" s="54"/>
      <c r="O52" s="54"/>
      <c r="P52" s="54"/>
      <c r="Q52" s="54"/>
    </row>
    <row r="53" spans="1:17" x14ac:dyDescent="0.25">
      <c r="A53" s="115"/>
      <c r="B53" s="39" t="s">
        <v>122</v>
      </c>
      <c r="C53" s="70">
        <f>0.0115708*C52*F42</f>
        <v>6644.3900174318323</v>
      </c>
      <c r="D53" s="70"/>
      <c r="E53" s="70"/>
      <c r="F53" s="156">
        <f>0.0115708*F52*F42</f>
        <v>8431.0399571348571</v>
      </c>
      <c r="G53" s="139"/>
      <c r="H53" s="139"/>
      <c r="I53" s="139"/>
      <c r="J53" s="139"/>
      <c r="K53" s="139"/>
      <c r="L53" s="139"/>
      <c r="M53" s="134"/>
      <c r="N53" s="57"/>
      <c r="O53" s="57"/>
      <c r="P53" s="57"/>
      <c r="Q53" s="57"/>
    </row>
    <row r="54" spans="1:17" x14ac:dyDescent="0.25">
      <c r="A54" s="113" t="s">
        <v>59</v>
      </c>
      <c r="B54" s="17" t="s">
        <v>99</v>
      </c>
      <c r="C54" s="67"/>
      <c r="D54" s="67"/>
      <c r="E54" s="67"/>
      <c r="F54" s="153"/>
      <c r="G54" s="140">
        <f>IF(G43&gt;$I$34, EXP((LN(1.062)/10)*(G43-$I$34)),1)</f>
        <v>1</v>
      </c>
      <c r="H54" s="140">
        <f>IF(H43&gt;$I$34, EXP((LN(1.062)/10)*(H43-$I$34)),1)</f>
        <v>1</v>
      </c>
      <c r="I54" s="140">
        <f>IF(I43&gt;$I$34, EXP((LN(1.062)/10)*(I43-$I$34)),1)</f>
        <v>1</v>
      </c>
      <c r="J54" s="140">
        <f>IF(J43&gt;$I$34, EXP((LN(1.062)/10)*(J43-$I$34)),1)</f>
        <v>1</v>
      </c>
      <c r="K54" s="140">
        <f>IF(K43&gt;$I$34, EXP((LN(1.062)/10)*(K43-$I$34)),1)</f>
        <v>1.0121034455497457</v>
      </c>
      <c r="L54" s="140">
        <f>IF(L43&gt;$I$34, EXP((LN(1.062)/10)*(L43-$I$34)),1)</f>
        <v>1.043006852485771</v>
      </c>
      <c r="M54" s="132">
        <f>IF(M43&gt;$I$34, EXP((LN(1.062)/10)*(M43-$I$34)),1)</f>
        <v>1.0748538591738301</v>
      </c>
      <c r="N54" s="55">
        <f>IF(N43&gt;$I$34, EXP((LN(1.062)/10)*(N43-$I$34)),1)</f>
        <v>1.1076732773398887</v>
      </c>
      <c r="O54" s="55">
        <f>IF(O43&gt;$I$34, EXP((LN(1.062)/10)*(O43-$I$34)),1)</f>
        <v>1.1414947984426076</v>
      </c>
      <c r="P54" s="55">
        <f>IF(P43&gt;$I$34, EXP((LN(1.062)/10)*(P43-$I$34)),1)</f>
        <v>1.1763490205349618</v>
      </c>
      <c r="Q54" s="55">
        <f>IF(Q43&gt;$I$34, EXP((LN(1.062)/10)*(Q43-$I$34)),1)</f>
        <v>1.2122674759460494</v>
      </c>
    </row>
    <row r="55" spans="1:17" x14ac:dyDescent="0.25">
      <c r="A55" s="114"/>
      <c r="B55" s="15" t="s">
        <v>80</v>
      </c>
      <c r="C55" s="68">
        <f>SUM(M55:Q55)</f>
        <v>5.5756501106184665E-2</v>
      </c>
      <c r="D55" s="68"/>
      <c r="E55" s="68"/>
      <c r="F55" s="152">
        <f>SUM(G55:Q55)</f>
        <v>7.1008998307338034E-2</v>
      </c>
      <c r="G55" s="138">
        <f>G44*(G54-1)</f>
        <v>0</v>
      </c>
      <c r="H55" s="138">
        <f>H44*(H54-1)</f>
        <v>0</v>
      </c>
      <c r="I55" s="138">
        <f>I44*(I54-1)</f>
        <v>0</v>
      </c>
      <c r="J55" s="138">
        <f>J44*(J54-1)</f>
        <v>0</v>
      </c>
      <c r="K55" s="138">
        <f>K44*(K54-1)</f>
        <v>1.6853970556822639E-3</v>
      </c>
      <c r="L55" s="138">
        <f>L44*(L54-1)</f>
        <v>1.3567100145471106E-2</v>
      </c>
      <c r="M55" s="130">
        <f>M44*(M54-1)</f>
        <v>1.3541162027583832E-2</v>
      </c>
      <c r="N55" s="54">
        <f>N44*(N54-1)</f>
        <v>1.5796006680780964E-2</v>
      </c>
      <c r="O55" s="54">
        <f>O44*(O54-1)</f>
        <v>1.6866633387219405E-2</v>
      </c>
      <c r="P55" s="54">
        <f>P44*(P54-1)</f>
        <v>8.5340480462440024E-3</v>
      </c>
      <c r="Q55" s="54">
        <f>Q44*(Q54-1)</f>
        <v>1.0186509643564665E-3</v>
      </c>
    </row>
    <row r="56" spans="1:17" x14ac:dyDescent="0.25">
      <c r="A56" s="114"/>
      <c r="B56" s="15" t="s">
        <v>100</v>
      </c>
      <c r="C56" s="68">
        <f>C55/(1+C55)</f>
        <v>5.2811894644044302E-2</v>
      </c>
      <c r="D56" s="68"/>
      <c r="E56" s="68"/>
      <c r="F56" s="152">
        <f>F55/(1+F55)</f>
        <v>6.6301028674421281E-2</v>
      </c>
      <c r="G56" s="138"/>
      <c r="H56" s="138"/>
      <c r="I56" s="138"/>
      <c r="J56" s="138"/>
      <c r="K56" s="138"/>
      <c r="L56" s="138"/>
      <c r="M56" s="130"/>
      <c r="N56" s="54"/>
      <c r="O56" s="54"/>
      <c r="P56" s="54"/>
      <c r="Q56" s="54"/>
    </row>
    <row r="57" spans="1:17" x14ac:dyDescent="0.25">
      <c r="A57" s="115"/>
      <c r="B57" s="39" t="s">
        <v>123</v>
      </c>
      <c r="C57" s="70">
        <f>0.0059261*C56*F42</f>
        <v>6508.6260538531606</v>
      </c>
      <c r="D57" s="70"/>
      <c r="E57" s="70"/>
      <c r="F57" s="156">
        <f>0.0059261*F56*F42</f>
        <v>8171.0494489193279</v>
      </c>
      <c r="G57" s="139"/>
      <c r="H57" s="139"/>
      <c r="I57" s="139"/>
      <c r="J57" s="139"/>
      <c r="K57" s="139"/>
      <c r="L57" s="139"/>
      <c r="M57" s="134"/>
      <c r="N57" s="57"/>
      <c r="O57" s="57"/>
      <c r="P57" s="57"/>
      <c r="Q57" s="57"/>
    </row>
    <row r="58" spans="1:17" x14ac:dyDescent="0.25">
      <c r="A58" s="113" t="s">
        <v>62</v>
      </c>
      <c r="B58" s="17" t="s">
        <v>99</v>
      </c>
      <c r="C58" s="150"/>
      <c r="D58" s="162"/>
      <c r="E58" s="168"/>
      <c r="F58" s="66"/>
      <c r="G58" s="140">
        <f>IF(G43&gt;$I$35, EXP((LN(1.08)/10)*(G43-$I$35)),1)</f>
        <v>1</v>
      </c>
      <c r="H58" s="140">
        <f>IF(H43&gt;$I$35, EXP((LN(1.08)/10)*(H43-$I$35)),1)</f>
        <v>1</v>
      </c>
      <c r="I58" s="140">
        <f>IF(I43&gt;$I$35, EXP((LN(1.08)/10)*(I43-$I$35)),1)</f>
        <v>1</v>
      </c>
      <c r="J58" s="140">
        <f>IF(J43&gt;$I$35, EXP((LN(1.08)/10)*(J43-$I$35)),1)</f>
        <v>1</v>
      </c>
      <c r="K58" s="140">
        <f>IF(K43&gt;$I$35, EXP((LN(1.08)/10)*(K43-$I$35)),1)</f>
        <v>1</v>
      </c>
      <c r="L58" s="140">
        <f>IF(L43&gt;$I$35, EXP((LN(1.08)/10)*(L43-$I$35)),1)</f>
        <v>1</v>
      </c>
      <c r="M58" s="132">
        <f>IF(M43&gt;$I$35, EXP((LN(1.08)/10)*(M43-$I$35)),1)</f>
        <v>1.0312631565524872</v>
      </c>
      <c r="N58" s="55">
        <f>IF(N43&gt;$I$35, EXP((LN(1.08)/10)*(N43-$I$35)),1)</f>
        <v>1.0717201098736591</v>
      </c>
      <c r="O58" s="55">
        <f>IF(O43&gt;$I$35, EXP((LN(1.08)/10)*(O43-$I$35)),1)</f>
        <v>1.1137642090766864</v>
      </c>
      <c r="P58" s="55">
        <f>IF(P43&gt;$I$35, EXP((LN(1.08)/10)*(P43-$I$35)),1)</f>
        <v>1.157457718663552</v>
      </c>
      <c r="Q58" s="55">
        <f>IF(Q43&gt;$I$35, EXP((LN(1.08)/10)*(Q43-$I$35)),1)</f>
        <v>1.2028653458028213</v>
      </c>
    </row>
    <row r="59" spans="1:17" x14ac:dyDescent="0.25">
      <c r="A59" s="114"/>
      <c r="B59" s="15" t="s">
        <v>80</v>
      </c>
      <c r="C59" s="118">
        <f>SUM(M59:Q59)</f>
        <v>3.8331542536053996E-2</v>
      </c>
      <c r="D59" s="160">
        <f>SUM(L59:Q59)</f>
        <v>3.8331542536053996E-2</v>
      </c>
      <c r="E59" s="161">
        <f>SUM(G59:Q59)</f>
        <v>3.8331542536053996E-2</v>
      </c>
      <c r="F59" s="68">
        <f>SUM(G59:Q59)</f>
        <v>3.8331542536053996E-2</v>
      </c>
      <c r="G59" s="138">
        <f>G44*(G58-1)</f>
        <v>0</v>
      </c>
      <c r="H59" s="138">
        <f>H44*(H58-1)</f>
        <v>0</v>
      </c>
      <c r="I59" s="138">
        <f>I44*(I58-1)</f>
        <v>0</v>
      </c>
      <c r="J59" s="138">
        <f>J44*(J58-1)</f>
        <v>0</v>
      </c>
      <c r="K59" s="138">
        <f>K44*(K58-1)</f>
        <v>0</v>
      </c>
      <c r="L59" s="138">
        <f>L44*(L58-1)</f>
        <v>0</v>
      </c>
      <c r="M59" s="130">
        <f>M44*(M58-1)</f>
        <v>5.6555463277831062E-3</v>
      </c>
      <c r="N59" s="54">
        <f>N44*(N58-1)</f>
        <v>1.0521564520921027E-2</v>
      </c>
      <c r="O59" s="54">
        <f>O44*(O58-1)</f>
        <v>1.3561058273543175E-2</v>
      </c>
      <c r="P59" s="54">
        <f>P44*(P58-1)</f>
        <v>7.6198423572209177E-3</v>
      </c>
      <c r="Q59" s="54">
        <f>Q44*(Q58-1)</f>
        <v>9.7353105658576995E-4</v>
      </c>
    </row>
    <row r="60" spans="1:17" x14ac:dyDescent="0.25">
      <c r="A60" s="114"/>
      <c r="B60" s="15" t="s">
        <v>100</v>
      </c>
      <c r="C60" s="118">
        <f>C59/(1+C59)</f>
        <v>3.69164770266266E-2</v>
      </c>
      <c r="D60" s="160">
        <f t="shared" ref="D60:E60" si="1">D59/(1+D59)</f>
        <v>3.69164770266266E-2</v>
      </c>
      <c r="E60" s="161">
        <f t="shared" si="1"/>
        <v>3.69164770266266E-2</v>
      </c>
      <c r="F60" s="68">
        <f>F59/(1+F59)</f>
        <v>3.69164770266266E-2</v>
      </c>
      <c r="G60" s="138"/>
      <c r="H60" s="138"/>
      <c r="I60" s="138"/>
      <c r="J60" s="138"/>
      <c r="K60" s="138"/>
      <c r="L60" s="138"/>
      <c r="M60" s="130"/>
      <c r="N60" s="54"/>
      <c r="O60" s="54"/>
      <c r="P60" s="54"/>
      <c r="Q60" s="54"/>
    </row>
    <row r="61" spans="1:17" x14ac:dyDescent="0.25">
      <c r="A61" s="115"/>
      <c r="B61" s="39" t="s">
        <v>124</v>
      </c>
      <c r="C61" s="119">
        <f>0.00127695*C60*$F$42</f>
        <v>980.35357762371382</v>
      </c>
      <c r="D61" s="163">
        <f t="shared" ref="D61:E61" si="2">0.00127695*D60*$F$42</f>
        <v>980.35357762371382</v>
      </c>
      <c r="E61" s="169">
        <f t="shared" si="2"/>
        <v>980.35357762371382</v>
      </c>
      <c r="F61" s="70">
        <f>0.00127695*F60*F42</f>
        <v>980.35357762371382</v>
      </c>
      <c r="G61" s="139"/>
      <c r="H61" s="139"/>
      <c r="I61" s="139"/>
      <c r="J61" s="139"/>
      <c r="K61" s="139"/>
      <c r="L61" s="139"/>
      <c r="M61" s="134"/>
      <c r="N61" s="57"/>
      <c r="O61" s="57"/>
      <c r="P61" s="57"/>
      <c r="Q61" s="57"/>
    </row>
    <row r="62" spans="1:17" x14ac:dyDescent="0.25">
      <c r="A62" s="111" t="s">
        <v>43</v>
      </c>
      <c r="B62" s="26" t="s">
        <v>96</v>
      </c>
      <c r="C62" s="116"/>
      <c r="D62" s="164"/>
      <c r="E62" s="170"/>
      <c r="F62" s="157"/>
      <c r="G62" s="142">
        <f>IF(G43&gt;$I$30,((78.927 - 3.1162 * G43 + 0.0342 * G43^2)/100),0)</f>
        <v>0</v>
      </c>
      <c r="H62" s="142">
        <f>IF(H43&gt;$I$30,((78.927 - 3.1162 * H43 + 0.0342 * H43^2)/100),0)</f>
        <v>0</v>
      </c>
      <c r="I62" s="142">
        <f>IF(I43&gt;$I$30,((78.927 - 3.1162 * I43 + 0.0342 * I43^2)/100),0)</f>
        <v>0</v>
      </c>
      <c r="J62" s="142">
        <f>IF(J43&gt;$I$30,((78.927 - 3.1162 * J43 + 0.0342 * J43^2)/100),0)</f>
        <v>0</v>
      </c>
      <c r="K62" s="142">
        <f>IF(K43&gt;$I$30,((78.927 - 3.1162 * K43 + 0.0342 * K43^2)/100),0)</f>
        <v>8.0134000000000191E-2</v>
      </c>
      <c r="L62" s="142">
        <f>IF(L43&gt;$I$30,((78.927 - 3.1162 * L43 + 0.0342 * L43^2)/100),0)</f>
        <v>9.3613999999999892E-2</v>
      </c>
      <c r="M62" s="135">
        <f>IF(M43&gt;$I$30,((78.927 - 3.1162 * M43 + 0.0342 * M43^2)/100),0)</f>
        <v>0.1241940000000001</v>
      </c>
      <c r="N62" s="58">
        <f>IF(N43&gt;$I$30,((78.927 - 3.1162 * N43 + 0.0342 * N43^2)/100),0)</f>
        <v>0.17187400000000011</v>
      </c>
      <c r="O62" s="58">
        <f>IF(O43&gt;$I$30,((78.927 - 3.1162 * O43 + 0.0342 * O43^2)/100),0)</f>
        <v>0.23665399999999978</v>
      </c>
      <c r="P62" s="58">
        <f>IF(P43&gt;$I$30,((78.927 - 3.1162 * P43 + 0.0342 * P43^2)/100),0)</f>
        <v>0.31853400000000021</v>
      </c>
      <c r="Q62" s="58">
        <f>IF(Q43&gt;$I$30,((78.927 - 3.1162 * Q43 + 0.0342 * Q43^2)/100),0)</f>
        <v>0.41751400000000016</v>
      </c>
    </row>
    <row r="63" spans="1:17" x14ac:dyDescent="0.25">
      <c r="A63" s="112"/>
      <c r="B63" s="26" t="s">
        <v>135</v>
      </c>
      <c r="C63" s="116">
        <f>SUM(M63:Q63)</f>
        <v>9.3309634085492005E-2</v>
      </c>
      <c r="D63" s="164">
        <f>SUM(L63:Q63)</f>
        <v>0.12284145144967462</v>
      </c>
      <c r="E63" s="170">
        <f>SUM(G63:Q63)</f>
        <v>0.13400005972406637</v>
      </c>
      <c r="F63" s="157">
        <f>SUM(G63:Q63)</f>
        <v>0.13400005972406637</v>
      </c>
      <c r="G63" s="73">
        <f>G44*G62</f>
        <v>0</v>
      </c>
      <c r="H63" s="73">
        <f>H44*H62</f>
        <v>0</v>
      </c>
      <c r="I63" s="73">
        <f>I44*I62</f>
        <v>0</v>
      </c>
      <c r="J63" s="73">
        <f>J44*J62</f>
        <v>0</v>
      </c>
      <c r="K63" s="73">
        <f>K44*K62</f>
        <v>1.1158608274391753E-2</v>
      </c>
      <c r="L63" s="73">
        <f>L44*L62</f>
        <v>2.9531817364182603E-2</v>
      </c>
      <c r="M63" s="130">
        <f>M44*M62</f>
        <v>2.2466858695265539E-2</v>
      </c>
      <c r="N63" s="54">
        <f>N44*N62</f>
        <v>2.5214453570336123E-2</v>
      </c>
      <c r="O63" s="54">
        <f>O44*O62</f>
        <v>2.8209915145665603E-2</v>
      </c>
      <c r="P63" s="54">
        <f>P44*P62</f>
        <v>1.5414797610533706E-2</v>
      </c>
      <c r="Q63" s="54">
        <f>Q44*Q62</f>
        <v>2.0036090636910467E-3</v>
      </c>
    </row>
    <row r="64" spans="1:17" x14ac:dyDescent="0.25">
      <c r="A64" s="110"/>
      <c r="B64" s="41" t="s">
        <v>136</v>
      </c>
      <c r="C64" s="120">
        <f>C63*$J$30*$F$42</f>
        <v>21345.5705628</v>
      </c>
      <c r="D64" s="165">
        <f t="shared" ref="D64:E64" si="3">D63*$J$30*$F$42</f>
        <v>28101.287671467711</v>
      </c>
      <c r="E64" s="171">
        <f t="shared" si="3"/>
        <v>30653.937916408569</v>
      </c>
      <c r="F64" s="155">
        <f>J30*F63*F42</f>
        <v>30653.937916408569</v>
      </c>
      <c r="G64" s="139"/>
      <c r="H64" s="139"/>
      <c r="I64" s="139"/>
      <c r="J64" s="139"/>
      <c r="K64" s="139"/>
      <c r="L64" s="139"/>
      <c r="M64" s="134"/>
      <c r="N64" s="57"/>
      <c r="O64" s="57"/>
      <c r="P64" s="57"/>
      <c r="Q64" s="57"/>
    </row>
    <row r="65" spans="1:17" x14ac:dyDescent="0.25">
      <c r="A65" s="21"/>
      <c r="B65" s="22"/>
      <c r="C65" s="22"/>
      <c r="D65" s="22"/>
      <c r="E65" s="22"/>
      <c r="F65" s="22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</row>
    <row r="66" spans="1:17" x14ac:dyDescent="0.25">
      <c r="A66" s="21"/>
      <c r="B66" s="22"/>
      <c r="C66" s="22"/>
      <c r="D66" s="22"/>
      <c r="E66" s="22"/>
      <c r="F66" s="22"/>
      <c r="G66" s="123" t="s">
        <v>84</v>
      </c>
      <c r="H66" s="123"/>
      <c r="I66" s="123"/>
      <c r="J66" s="123"/>
      <c r="K66" s="123"/>
      <c r="L66" s="107" t="s">
        <v>85</v>
      </c>
      <c r="M66" s="108"/>
      <c r="N66" s="108"/>
      <c r="O66" s="108"/>
      <c r="P66" s="108"/>
      <c r="Q66" s="23"/>
    </row>
    <row r="67" spans="1:17" ht="30" x14ac:dyDescent="0.25">
      <c r="A67" s="21"/>
      <c r="B67" s="22"/>
      <c r="C67" s="22"/>
      <c r="D67" s="22"/>
      <c r="E67" s="22"/>
      <c r="F67" s="24" t="s">
        <v>79</v>
      </c>
      <c r="G67" s="124" t="s">
        <v>103</v>
      </c>
      <c r="H67" s="124" t="s">
        <v>102</v>
      </c>
      <c r="I67" s="124" t="s">
        <v>101</v>
      </c>
      <c r="J67" s="124" t="s">
        <v>104</v>
      </c>
      <c r="K67" s="124" t="s">
        <v>105</v>
      </c>
      <c r="L67" s="46" t="s">
        <v>112</v>
      </c>
      <c r="M67" s="47" t="s">
        <v>113</v>
      </c>
      <c r="N67" s="47" t="s">
        <v>114</v>
      </c>
      <c r="O67" s="47" t="s">
        <v>115</v>
      </c>
      <c r="P67" s="47" t="s">
        <v>116</v>
      </c>
      <c r="Q67" s="15"/>
    </row>
    <row r="68" spans="1:17" x14ac:dyDescent="0.25">
      <c r="A68" s="113" t="s">
        <v>92</v>
      </c>
      <c r="B68" s="18" t="s">
        <v>77</v>
      </c>
      <c r="C68" s="18"/>
      <c r="D68" s="18"/>
      <c r="E68" s="18"/>
      <c r="F68" s="28">
        <f>SUM(G68:P68)</f>
        <v>15021000</v>
      </c>
      <c r="G68" s="143">
        <f>C14</f>
        <v>64582.789500000006</v>
      </c>
      <c r="H68" s="143">
        <f>D14</f>
        <v>239111.78849999997</v>
      </c>
      <c r="I68" s="143">
        <f>E14</f>
        <v>1126116.8595</v>
      </c>
      <c r="J68" s="143">
        <f>F14</f>
        <v>2838600.9855</v>
      </c>
      <c r="K68" s="143">
        <f>G14</f>
        <v>3242087.577</v>
      </c>
      <c r="L68" s="62">
        <f>Frontend!K15</f>
        <v>3383500</v>
      </c>
      <c r="M68" s="59">
        <f>Frontend!L15</f>
        <v>2682400</v>
      </c>
      <c r="N68" s="59">
        <f>Frontend!M15</f>
        <v>1283500</v>
      </c>
      <c r="O68" s="59">
        <f>Frontend!N15</f>
        <v>156200</v>
      </c>
      <c r="P68" s="59">
        <f>Frontend!O15</f>
        <v>4900</v>
      </c>
      <c r="Q68" s="15"/>
    </row>
    <row r="69" spans="1:17" x14ac:dyDescent="0.25">
      <c r="A69" s="114"/>
      <c r="B69" s="15" t="s">
        <v>97</v>
      </c>
      <c r="C69" s="15"/>
      <c r="D69" s="15"/>
      <c r="E69" s="15"/>
      <c r="F69" s="15"/>
      <c r="G69" s="125">
        <v>27</v>
      </c>
      <c r="H69" s="125">
        <v>32</v>
      </c>
      <c r="I69" s="125">
        <v>37</v>
      </c>
      <c r="J69" s="125">
        <v>42</v>
      </c>
      <c r="K69" s="125">
        <v>47</v>
      </c>
      <c r="L69" s="48">
        <v>52</v>
      </c>
      <c r="M69" s="49">
        <v>57</v>
      </c>
      <c r="N69" s="49">
        <v>62</v>
      </c>
      <c r="O69" s="49">
        <v>67</v>
      </c>
      <c r="P69" s="50">
        <v>72</v>
      </c>
      <c r="Q69" s="15"/>
    </row>
    <row r="70" spans="1:17" x14ac:dyDescent="0.25">
      <c r="A70" s="115"/>
      <c r="B70" s="19" t="s">
        <v>98</v>
      </c>
      <c r="C70" s="16"/>
      <c r="D70" s="16"/>
      <c r="E70" s="16"/>
      <c r="F70" s="25"/>
      <c r="G70" s="144">
        <f>G68/$F$68</f>
        <v>4.2995000000000004E-3</v>
      </c>
      <c r="H70" s="144">
        <f t="shared" ref="H70:P70" si="4">H68/$F$68</f>
        <v>1.5918499999999999E-2</v>
      </c>
      <c r="I70" s="144">
        <f t="shared" si="4"/>
        <v>7.4969499999999994E-2</v>
      </c>
      <c r="J70" s="144">
        <f t="shared" si="4"/>
        <v>0.18897549999999999</v>
      </c>
      <c r="K70" s="144">
        <f t="shared" si="4"/>
        <v>0.215837</v>
      </c>
      <c r="L70" s="63">
        <f t="shared" si="4"/>
        <v>0.2252513148259104</v>
      </c>
      <c r="M70" s="60">
        <f t="shared" si="4"/>
        <v>0.17857665934358566</v>
      </c>
      <c r="N70" s="60">
        <f t="shared" si="4"/>
        <v>8.5447040809533317E-2</v>
      </c>
      <c r="O70" s="60">
        <f t="shared" si="4"/>
        <v>1.0398775048265762E-2</v>
      </c>
      <c r="P70" s="60">
        <f t="shared" si="4"/>
        <v>3.2620997270487985E-4</v>
      </c>
      <c r="Q70" s="15"/>
    </row>
    <row r="71" spans="1:17" x14ac:dyDescent="0.25">
      <c r="A71" s="30" t="s">
        <v>93</v>
      </c>
      <c r="B71" s="31"/>
      <c r="C71" s="121" t="s">
        <v>91</v>
      </c>
      <c r="D71" s="166" t="s">
        <v>165</v>
      </c>
      <c r="E71" s="172" t="s">
        <v>167</v>
      </c>
      <c r="F71" s="158" t="s">
        <v>125</v>
      </c>
      <c r="G71" s="145"/>
      <c r="H71" s="145"/>
      <c r="I71" s="145"/>
      <c r="J71" s="145"/>
      <c r="K71" s="145"/>
      <c r="L71" s="64"/>
      <c r="M71" s="61"/>
      <c r="N71" s="61"/>
      <c r="O71" s="61"/>
      <c r="P71" s="61"/>
      <c r="Q71" s="15"/>
    </row>
    <row r="72" spans="1:17" s="26" customFormat="1" x14ac:dyDescent="0.25">
      <c r="A72" s="109" t="s">
        <v>50</v>
      </c>
      <c r="B72" s="26" t="s">
        <v>96</v>
      </c>
      <c r="C72" s="122"/>
      <c r="D72" s="167"/>
      <c r="E72" s="173"/>
      <c r="F72" s="159"/>
      <c r="G72" s="146">
        <f>IF(G69&gt;$I$31,((19.4312 - 0.9336 *  G69 + 0.0126 *  G69^2)/100),0)</f>
        <v>0</v>
      </c>
      <c r="H72" s="146">
        <f t="shared" ref="H72:P72" si="5">IF(H69&gt;$I$31,((19.4312 - 0.9336 *  H69 + 0.0126 *  H69^2)/100),0)</f>
        <v>0</v>
      </c>
      <c r="I72" s="146">
        <f t="shared" si="5"/>
        <v>0</v>
      </c>
      <c r="J72" s="146">
        <f t="shared" si="5"/>
        <v>2.4464000000000041E-2</v>
      </c>
      <c r="K72" s="146">
        <f t="shared" si="5"/>
        <v>3.3854000000000044E-2</v>
      </c>
      <c r="L72" s="51">
        <f t="shared" si="5"/>
        <v>4.9544000000000032E-2</v>
      </c>
      <c r="M72" s="52">
        <f t="shared" si="5"/>
        <v>7.1534000000000125E-2</v>
      </c>
      <c r="N72" s="52">
        <f t="shared" si="5"/>
        <v>9.9824000000000052E-2</v>
      </c>
      <c r="O72" s="52">
        <f t="shared" si="5"/>
        <v>0.13441399999999995</v>
      </c>
      <c r="P72" s="52">
        <f t="shared" si="5"/>
        <v>0.17530400000000002</v>
      </c>
    </row>
    <row r="73" spans="1:17" s="26" customFormat="1" x14ac:dyDescent="0.25">
      <c r="A73" s="109"/>
      <c r="B73" s="26" t="s">
        <v>135</v>
      </c>
      <c r="C73" s="122">
        <f>SUM(L73:P73)</f>
        <v>3.3918746155382498E-2</v>
      </c>
      <c r="D73" s="167">
        <f>SUM(K73:P73)</f>
        <v>4.1225691953382514E-2</v>
      </c>
      <c r="E73" s="173">
        <f>SUM(G73:P73)</f>
        <v>4.5848788585382522E-2</v>
      </c>
      <c r="F73" s="159">
        <f>SUM(G73:P73)</f>
        <v>4.5848788585382522E-2</v>
      </c>
      <c r="G73" s="146">
        <f>G72*G70</f>
        <v>0</v>
      </c>
      <c r="H73" s="146">
        <f t="shared" ref="H73:P73" si="6">H72*H70</f>
        <v>0</v>
      </c>
      <c r="I73" s="146">
        <f t="shared" si="6"/>
        <v>0</v>
      </c>
      <c r="J73" s="146">
        <f t="shared" si="6"/>
        <v>4.6230966320000072E-3</v>
      </c>
      <c r="K73" s="146">
        <f t="shared" si="6"/>
        <v>7.3069457980000094E-3</v>
      </c>
      <c r="L73" s="51">
        <f t="shared" si="6"/>
        <v>1.1159851141734912E-2</v>
      </c>
      <c r="M73" s="52">
        <f t="shared" si="6"/>
        <v>1.2774302749484078E-2</v>
      </c>
      <c r="N73" s="52">
        <f t="shared" si="6"/>
        <v>8.5296654017708584E-3</v>
      </c>
      <c r="O73" s="52">
        <f t="shared" si="6"/>
        <v>1.3977409493375935E-3</v>
      </c>
      <c r="P73" s="52">
        <f t="shared" si="6"/>
        <v>5.718591305505626E-5</v>
      </c>
    </row>
    <row r="74" spans="1:17" s="26" customFormat="1" x14ac:dyDescent="0.25">
      <c r="A74" s="110"/>
      <c r="B74" s="41" t="s">
        <v>137</v>
      </c>
      <c r="C74" s="120">
        <f>$J$31*C73*$F$68</f>
        <v>5094.9348600000048</v>
      </c>
      <c r="D74" s="165">
        <f t="shared" ref="D74:E74" si="7">$J$31*D73*$F$68</f>
        <v>6192.5111883175869</v>
      </c>
      <c r="E74" s="171">
        <f t="shared" si="7"/>
        <v>6886.9465334103088</v>
      </c>
      <c r="F74" s="155">
        <f>J31*F73*F68</f>
        <v>6886.9465334103088</v>
      </c>
      <c r="G74" s="147"/>
      <c r="H74" s="147"/>
      <c r="I74" s="147"/>
      <c r="J74" s="147"/>
      <c r="K74" s="147"/>
      <c r="L74" s="149"/>
      <c r="M74" s="148"/>
      <c r="N74" s="148"/>
      <c r="O74" s="148"/>
      <c r="P74" s="148"/>
      <c r="Q74" s="19"/>
    </row>
    <row r="77" spans="1:17" ht="18" thickBot="1" x14ac:dyDescent="0.35">
      <c r="A77" s="20" t="s">
        <v>94</v>
      </c>
      <c r="B77" s="4" t="s">
        <v>154</v>
      </c>
    </row>
    <row r="78" spans="1:17" ht="15.75" thickTop="1" x14ac:dyDescent="0.25">
      <c r="C78" s="116" t="s">
        <v>91</v>
      </c>
      <c r="D78" s="164" t="s">
        <v>165</v>
      </c>
      <c r="E78" s="170" t="s">
        <v>167</v>
      </c>
      <c r="F78" s="157" t="s">
        <v>125</v>
      </c>
      <c r="H78" s="4"/>
    </row>
    <row r="79" spans="1:17" x14ac:dyDescent="0.25">
      <c r="B79" s="32" t="s">
        <v>90</v>
      </c>
      <c r="C79" s="174">
        <f>C61+C64+C74</f>
        <v>27420.859000423719</v>
      </c>
      <c r="D79" s="177">
        <f t="shared" ref="D79" si="8">D61+D64+D74</f>
        <v>35274.152437409015</v>
      </c>
      <c r="E79" s="180">
        <f>E61+E64+E74</f>
        <v>38521.238027442596</v>
      </c>
      <c r="F79" s="183">
        <f>F49+F53+F57+F64+F74</f>
        <v>308626.30242553435</v>
      </c>
      <c r="G79" s="33"/>
    </row>
    <row r="80" spans="1:17" x14ac:dyDescent="0.25">
      <c r="B80" s="32" t="s">
        <v>95</v>
      </c>
      <c r="C80" s="175">
        <f>C79*$C$85</f>
        <v>1919460130.0296605</v>
      </c>
      <c r="D80" s="178">
        <f t="shared" ref="D80:E80" si="9">D79*$C$85</f>
        <v>2469190670.6186309</v>
      </c>
      <c r="E80" s="181">
        <f t="shared" si="9"/>
        <v>2696486661.9209819</v>
      </c>
      <c r="F80" s="184">
        <f>F79*C85</f>
        <v>21603841169.787403</v>
      </c>
      <c r="G80" s="34"/>
    </row>
    <row r="81" spans="2:6" x14ac:dyDescent="0.25">
      <c r="B81" s="85" t="s">
        <v>140</v>
      </c>
      <c r="C81" s="174">
        <f>(C79/$C$86)*100000</f>
        <v>106.86035636315063</v>
      </c>
      <c r="D81" s="177">
        <f t="shared" ref="D81:E81" si="10">(D79/$C$86)*100000</f>
        <v>137.46500428055077</v>
      </c>
      <c r="E81" s="180">
        <f t="shared" si="10"/>
        <v>150.11904707648497</v>
      </c>
      <c r="F81" s="183">
        <f>(F79/C86)*100000</f>
        <v>1202.730981539436</v>
      </c>
    </row>
    <row r="82" spans="2:6" x14ac:dyDescent="0.25">
      <c r="B82" s="85" t="s">
        <v>142</v>
      </c>
      <c r="C82" s="176">
        <f>C80/$C$86</f>
        <v>74.802249454205437</v>
      </c>
      <c r="D82" s="179">
        <f t="shared" ref="D82:E82" si="11">D80/$C$86</f>
        <v>96.225502996385529</v>
      </c>
      <c r="E82" s="182">
        <f t="shared" si="11"/>
        <v>105.08333295353948</v>
      </c>
      <c r="F82" s="185">
        <f>(F80/C86)</f>
        <v>841.91168707760517</v>
      </c>
    </row>
    <row r="84" spans="2:6" x14ac:dyDescent="0.25">
      <c r="B84" s="32" t="s">
        <v>126</v>
      </c>
    </row>
    <row r="85" spans="2:6" x14ac:dyDescent="0.25">
      <c r="B85" s="32" t="s">
        <v>143</v>
      </c>
      <c r="C85" s="86">
        <v>70000</v>
      </c>
      <c r="D85" s="86"/>
      <c r="E85" s="86"/>
    </row>
    <row r="86" spans="2:6" x14ac:dyDescent="0.25">
      <c r="B86" s="32" t="s">
        <v>141</v>
      </c>
      <c r="C86" s="8">
        <v>25660460</v>
      </c>
      <c r="D86" s="8"/>
      <c r="E86" s="8"/>
    </row>
    <row r="87" spans="2:6" x14ac:dyDescent="0.25">
      <c r="B87" s="32"/>
      <c r="C87" s="42"/>
      <c r="D87" s="42"/>
    </row>
  </sheetData>
  <mergeCells count="12">
    <mergeCell ref="G40:L40"/>
    <mergeCell ref="M40:Q40"/>
    <mergeCell ref="G66:K66"/>
    <mergeCell ref="L66:P66"/>
    <mergeCell ref="A72:A74"/>
    <mergeCell ref="A62:A64"/>
    <mergeCell ref="A46:A49"/>
    <mergeCell ref="A50:A53"/>
    <mergeCell ref="A54:A57"/>
    <mergeCell ref="A58:A61"/>
    <mergeCell ref="A42:A44"/>
    <mergeCell ref="A68:A7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FF22-8137-4E66-B950-E8DCA56124BF}">
  <dimension ref="A1:G19"/>
  <sheetViews>
    <sheetView tabSelected="1" workbookViewId="0">
      <selection activeCell="E27" sqref="E27"/>
    </sheetView>
  </sheetViews>
  <sheetFormatPr baseColWidth="10" defaultRowHeight="15" x14ac:dyDescent="0.25"/>
  <cols>
    <col min="1" max="1" width="21.42578125" bestFit="1" customWidth="1"/>
    <col min="2" max="2" width="17.85546875" bestFit="1" customWidth="1"/>
    <col min="3" max="3" width="21.28515625" bestFit="1" customWidth="1"/>
    <col min="4" max="5" width="15.5703125" bestFit="1" customWidth="1"/>
    <col min="6" max="6" width="20.42578125" bestFit="1" customWidth="1"/>
    <col min="7" max="7" width="21.42578125" bestFit="1" customWidth="1"/>
  </cols>
  <sheetData>
    <row r="1" spans="1:7" x14ac:dyDescent="0.25">
      <c r="B1" t="s">
        <v>91</v>
      </c>
      <c r="C1" t="s">
        <v>165</v>
      </c>
      <c r="D1" t="s">
        <v>167</v>
      </c>
      <c r="E1" t="s">
        <v>125</v>
      </c>
    </row>
    <row r="2" spans="1:7" x14ac:dyDescent="0.25">
      <c r="A2" t="s">
        <v>90</v>
      </c>
      <c r="B2">
        <v>27420.859000423719</v>
      </c>
      <c r="C2">
        <v>35274.152437409015</v>
      </c>
      <c r="D2">
        <v>38521.238027442596</v>
      </c>
      <c r="E2">
        <v>308626.30242553435</v>
      </c>
    </row>
    <row r="6" spans="1:7" x14ac:dyDescent="0.25">
      <c r="A6" t="s">
        <v>93</v>
      </c>
      <c r="C6" t="s">
        <v>91</v>
      </c>
      <c r="D6" t="s">
        <v>165</v>
      </c>
      <c r="E6" t="s">
        <v>167</v>
      </c>
      <c r="F6" t="s">
        <v>125</v>
      </c>
    </row>
    <row r="7" spans="1:7" x14ac:dyDescent="0.25">
      <c r="A7" t="s">
        <v>53</v>
      </c>
      <c r="B7" t="s">
        <v>171</v>
      </c>
      <c r="F7">
        <v>254483.32856966133</v>
      </c>
    </row>
    <row r="8" spans="1:7" x14ac:dyDescent="0.25">
      <c r="A8" t="s">
        <v>57</v>
      </c>
      <c r="B8" t="s">
        <v>172</v>
      </c>
      <c r="F8">
        <v>8431.0399571348571</v>
      </c>
    </row>
    <row r="9" spans="1:7" x14ac:dyDescent="0.25">
      <c r="A9" t="s">
        <v>59</v>
      </c>
      <c r="B9" t="s">
        <v>172</v>
      </c>
      <c r="F9">
        <v>8171.0494489193279</v>
      </c>
    </row>
    <row r="10" spans="1:7" x14ac:dyDescent="0.25">
      <c r="A10" t="s">
        <v>62</v>
      </c>
      <c r="B10" t="s">
        <v>172</v>
      </c>
      <c r="C10">
        <v>980.35357762371382</v>
      </c>
      <c r="D10">
        <v>980.35357762371382</v>
      </c>
      <c r="E10">
        <v>980.35357762371382</v>
      </c>
    </row>
    <row r="11" spans="1:7" x14ac:dyDescent="0.25">
      <c r="A11" t="s">
        <v>43</v>
      </c>
      <c r="B11" t="s">
        <v>172</v>
      </c>
      <c r="C11">
        <v>21345.5705628</v>
      </c>
      <c r="D11">
        <v>28101.287671467711</v>
      </c>
      <c r="E11">
        <v>30653.937916408569</v>
      </c>
      <c r="F11">
        <v>30653.937916408569</v>
      </c>
    </row>
    <row r="12" spans="1:7" x14ac:dyDescent="0.25">
      <c r="A12" t="s">
        <v>50</v>
      </c>
      <c r="B12" t="s">
        <v>172</v>
      </c>
      <c r="C12">
        <v>5094.9348600000048</v>
      </c>
      <c r="D12">
        <v>6192.5111883175869</v>
      </c>
      <c r="E12">
        <v>6886.9465334103088</v>
      </c>
      <c r="F12">
        <v>6886.9465334103088</v>
      </c>
    </row>
    <row r="15" spans="1:7" x14ac:dyDescent="0.25">
      <c r="B15" t="s">
        <v>53</v>
      </c>
      <c r="C15" t="s">
        <v>57</v>
      </c>
      <c r="D15" t="s">
        <v>59</v>
      </c>
      <c r="E15" t="s">
        <v>62</v>
      </c>
      <c r="F15" t="s">
        <v>43</v>
      </c>
      <c r="G15" t="s">
        <v>50</v>
      </c>
    </row>
    <row r="16" spans="1:7" x14ac:dyDescent="0.25">
      <c r="A16" t="s">
        <v>91</v>
      </c>
      <c r="E16">
        <v>980.35357762371382</v>
      </c>
      <c r="F16">
        <v>21345.5705628</v>
      </c>
      <c r="G16">
        <v>5094.9348600000048</v>
      </c>
    </row>
    <row r="17" spans="1:7" x14ac:dyDescent="0.25">
      <c r="A17" t="s">
        <v>165</v>
      </c>
      <c r="E17">
        <v>980.35357762371382</v>
      </c>
      <c r="F17">
        <v>28101.287671467711</v>
      </c>
      <c r="G17">
        <v>6192.5111883175869</v>
      </c>
    </row>
    <row r="18" spans="1:7" x14ac:dyDescent="0.25">
      <c r="A18" t="s">
        <v>167</v>
      </c>
      <c r="E18">
        <v>980.35357762371382</v>
      </c>
      <c r="F18">
        <v>30653.937916408569</v>
      </c>
      <c r="G18">
        <v>6886.9465334103088</v>
      </c>
    </row>
    <row r="19" spans="1:7" x14ac:dyDescent="0.25">
      <c r="A19" t="s">
        <v>125</v>
      </c>
      <c r="B19">
        <v>254483.32856966133</v>
      </c>
      <c r="C19">
        <v>8431.0399571348571</v>
      </c>
      <c r="D19">
        <v>8171.0494489193279</v>
      </c>
      <c r="F19">
        <v>30653.937916408569</v>
      </c>
      <c r="G19">
        <v>6886.9465334103088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29" t="s">
        <v>119</v>
      </c>
      <c r="B1" t="s">
        <v>118</v>
      </c>
      <c r="C1" t="s">
        <v>117</v>
      </c>
    </row>
    <row r="2" spans="1:3" x14ac:dyDescent="0.25">
      <c r="A2" s="35">
        <v>1</v>
      </c>
      <c r="B2" s="43" t="s">
        <v>98</v>
      </c>
      <c r="C2" s="37" t="s">
        <v>128</v>
      </c>
    </row>
    <row r="3" spans="1:3" ht="45" x14ac:dyDescent="0.25">
      <c r="A3" s="35">
        <v>2</v>
      </c>
      <c r="B3" s="44" t="s">
        <v>96</v>
      </c>
      <c r="C3" s="36" t="s">
        <v>129</v>
      </c>
    </row>
    <row r="4" spans="1:3" ht="45" x14ac:dyDescent="0.25">
      <c r="A4" s="35">
        <v>3</v>
      </c>
      <c r="B4" s="45" t="s">
        <v>130</v>
      </c>
      <c r="C4" s="36" t="s">
        <v>131</v>
      </c>
    </row>
    <row r="5" spans="1:3" x14ac:dyDescent="0.25">
      <c r="A5" s="35">
        <v>4</v>
      </c>
      <c r="B5" s="44" t="s">
        <v>120</v>
      </c>
      <c r="C5" t="s">
        <v>132</v>
      </c>
    </row>
    <row r="6" spans="1:3" x14ac:dyDescent="0.25">
      <c r="A6" s="38">
        <v>5</v>
      </c>
      <c r="B6" s="44" t="s">
        <v>121</v>
      </c>
      <c r="C6" t="s">
        <v>133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A36" sqref="A36:XFD36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31</v>
      </c>
    </row>
    <row r="3" spans="1:1" ht="15.75" thickTop="1" x14ac:dyDescent="0.25"/>
  </sheetData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Hinweise</vt:lpstr>
      <vt:lpstr>Frontend</vt:lpstr>
      <vt:lpstr>Frontend DEMO DE</vt:lpstr>
      <vt:lpstr>Frontend DEMO ENG</vt:lpstr>
      <vt:lpstr>Agglomeration road</vt:lpstr>
      <vt:lpstr>Abb DALY agg road</vt:lpstr>
      <vt:lpstr>Fragen</vt:lpstr>
      <vt:lpstr>ERF HRA</vt:lpstr>
      <vt:lpstr>Agglomeration rail</vt:lpstr>
      <vt:lpstr>Agglomeration air</vt:lpstr>
      <vt:lpstr>Major roads </vt:lpstr>
      <vt:lpstr>Major railways </vt:lpstr>
      <vt:lpstr>Major airports</vt:lpstr>
      <vt:lpstr>5dB to 1dB refinement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2026-06-10T12:47:50Z</dcterms:modified>
</cp:coreProperties>
</file>