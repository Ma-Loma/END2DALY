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6" rupBuild="27932"/>
  <workbookPr dateCompatibility="0" codeName="DieseArbeitsmappe"/>
  <mc:AlternateContent xmlns:mc="http://schemas.openxmlformats.org/markup-compatibility/2006">
    <mc:Choice Requires="x15">
      <x15ac:absPath xmlns:x15ac="http://schemas.microsoft.com/office/spreadsheetml/2010/11/ac" url="C:\Dokumente_lokal\GitHub Repository\END2DALY\Lärmschadenstool_EXCEL\"/>
    </mc:Choice>
  </mc:AlternateContent>
  <xr:revisionPtr revIDLastSave="0" documentId="13_ncr:9_{735E44AF-7170-462E-A1F5-E70D606806F2}" xr6:coauthVersionLast="47" xr6:coauthVersionMax="47" xr10:uidLastSave="{00000000-0000-0000-0000-000000000000}"/>
  <bookViews>
    <workbookView xWindow="57480" yWindow="-120" windowWidth="29040" windowHeight="17640" activeTab="3" xr2:uid="{00000000-000D-0000-FFFF-FFFF00000000}"/>
  </bookViews>
  <sheets>
    <sheet name="Hinweise" sheetId="12" r:id="rId1"/>
    <sheet name="Frontend" sheetId="8" r:id="rId2"/>
    <sheet name="Frontend DEMO DAGA" sheetId="13" r:id="rId3"/>
    <sheet name="Agglomeration road" sheetId="1" r:id="rId4"/>
    <sheet name="Fragen" sheetId="11" r:id="rId5"/>
    <sheet name="ERF HRA" sheetId="10" r:id="rId6"/>
    <sheet name="Agglomeration rail" sheetId="2" r:id="rId7"/>
    <sheet name="Agglomeration air" sheetId="3" r:id="rId8"/>
    <sheet name="Major roads " sheetId="5" r:id="rId9"/>
    <sheet name="Major railways " sheetId="6" r:id="rId10"/>
    <sheet name="Major airports" sheetId="7" r:id="rId11"/>
    <sheet name="5dB to 1dB refinement" sheetId="9" r:id="rId12"/>
  </sheet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purl.oclc.org/ooxml/spreadsheetml/main">
  <c r="E46" i="1" l="1"/>
  <c r="G46" i="1"/>
  <c r="P23" i="13"/>
  <c r="I23" i="13"/>
  <c r="P22" i="13"/>
  <c r="I22" i="13"/>
  <c r="P19" i="13"/>
  <c r="I19" i="13"/>
  <c r="P18" i="13"/>
  <c r="I18" i="13"/>
  <c r="P15" i="13"/>
  <c r="D35" i="13" s="1"/>
  <c r="I15" i="13"/>
  <c r="C35" i="13" s="1"/>
  <c r="P14" i="13"/>
  <c r="I14" i="13"/>
  <c r="I14" i="8"/>
  <c r="I15" i="8"/>
  <c r="C35" i="8" s="1"/>
  <c r="I18" i="8"/>
  <c r="I19" i="8"/>
  <c r="I22" i="8"/>
  <c r="I23" i="8"/>
  <c r="F62" i="1"/>
  <c r="G62" i="1"/>
  <c r="H62" i="1"/>
  <c r="I62" i="1"/>
  <c r="J62" i="1"/>
  <c r="K62" i="1"/>
  <c r="L62" i="1"/>
  <c r="M62" i="1"/>
  <c r="N62" i="1"/>
  <c r="O62" i="1"/>
  <c r="E62" i="1"/>
  <c r="F72" i="1"/>
  <c r="G72" i="1"/>
  <c r="H72" i="1"/>
  <c r="I72" i="1"/>
  <c r="J72" i="1"/>
  <c r="K72" i="1"/>
  <c r="L72" i="1"/>
  <c r="M72" i="1"/>
  <c r="N72" i="1"/>
  <c r="E72" i="1"/>
  <c r="K68" i="1"/>
  <c r="L68" i="1"/>
  <c r="M68" i="1"/>
  <c r="N68" i="1"/>
  <c r="J68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H46" i="1"/>
  <c r="I46" i="1"/>
  <c r="J46" i="1"/>
  <c r="K46" i="1"/>
  <c r="L46" i="1"/>
  <c r="M46" i="1"/>
  <c r="N46" i="1"/>
  <c r="O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P23" i="8"/>
  <c r="P22" i="8"/>
  <c r="P19" i="8"/>
  <c r="P18" i="8"/>
  <c r="P15" i="8"/>
  <c r="E14" i="1" s="1"/>
  <c r="G68" i="1" s="1"/>
  <c r="G13" i="1"/>
  <c r="I42" i="1" s="1"/>
  <c r="P14" i="8"/>
  <c r="D35" i="8" l="1"/>
  <c r="C14" i="1"/>
  <c r="E68" i="1" s="1"/>
  <c r="C13" i="1"/>
  <c r="E42" i="1" s="1"/>
  <c r="H13" i="1"/>
  <c r="J42" i="1" s="1"/>
  <c r="F13" i="1"/>
  <c r="H42" i="1" s="1"/>
  <c r="D13" i="1"/>
  <c r="F42" i="1" s="1"/>
  <c r="G14" i="1"/>
  <c r="I68" i="1" s="1"/>
  <c r="E13" i="1"/>
  <c r="G42" i="1" s="1"/>
  <c r="F14" i="1"/>
  <c r="H68" i="1" s="1"/>
  <c r="D14" i="1"/>
  <c r="F68" i="1" s="1"/>
  <c r="F13" i="2"/>
  <c r="G12" i="2"/>
  <c r="D68" i="1" l="1"/>
  <c r="E70" i="1" s="1"/>
  <c r="E73" i="1" s="1"/>
  <c r="D42" i="1"/>
  <c r="E44" i="1" s="1"/>
  <c r="I13" i="1"/>
  <c r="C18" i="1" s="1"/>
  <c r="I14" i="1"/>
  <c r="E13" i="2"/>
  <c r="F12" i="2"/>
  <c r="E12" i="2"/>
  <c r="B13" i="2" l="1"/>
  <c r="C36" i="8"/>
  <c r="C36" i="13"/>
  <c r="D12" i="2"/>
  <c r="D13" i="2"/>
  <c r="C13" i="2" s="1"/>
  <c r="E63" i="1"/>
  <c r="H70" i="1"/>
  <c r="H73" i="1" s="1"/>
  <c r="J70" i="1"/>
  <c r="J73" i="1" s="1"/>
  <c r="M70" i="1"/>
  <c r="M73" i="1" s="1"/>
  <c r="K70" i="1"/>
  <c r="K73" i="1" s="1"/>
  <c r="L70" i="1"/>
  <c r="L73" i="1" s="1"/>
  <c r="N70" i="1"/>
  <c r="N73" i="1" s="1"/>
  <c r="F70" i="1"/>
  <c r="F73" i="1" s="1"/>
  <c r="G70" i="1"/>
  <c r="G73" i="1" s="1"/>
  <c r="I70" i="1"/>
  <c r="I73" i="1" s="1"/>
  <c r="E59" i="1"/>
  <c r="E51" i="1"/>
  <c r="E55" i="1"/>
  <c r="E47" i="1"/>
  <c r="N44" i="1"/>
  <c r="N63" i="1" s="1"/>
  <c r="L44" i="1"/>
  <c r="L63" i="1" s="1"/>
  <c r="K44" i="1"/>
  <c r="K63" i="1" s="1"/>
  <c r="I44" i="1"/>
  <c r="I63" i="1" s="1"/>
  <c r="O44" i="1"/>
  <c r="O63" i="1" s="1"/>
  <c r="M44" i="1"/>
  <c r="M63" i="1" s="1"/>
  <c r="H44" i="1"/>
  <c r="H63" i="1" s="1"/>
  <c r="F44" i="1"/>
  <c r="F63" i="1" s="1"/>
  <c r="G44" i="1"/>
  <c r="G63" i="1" s="1"/>
  <c r="J44" i="1"/>
  <c r="J63" i="1" s="1"/>
  <c r="C19" i="1"/>
  <c r="D36" i="8" l="1"/>
  <c r="D36" i="13"/>
  <c r="D73" i="1"/>
  <c r="D74" i="1" s="1"/>
  <c r="D63" i="1"/>
  <c r="D64" i="1" s="1"/>
  <c r="C73" i="1"/>
  <c r="C74" i="1" s="1"/>
  <c r="C63" i="1"/>
  <c r="C64" i="1" s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79" i="1" s="1"/>
  <c r="D52" i="1"/>
  <c r="D53" i="1" s="1"/>
  <c r="C61" i="1" l="1"/>
  <c r="C79" i="1" s="1"/>
  <c r="D82" i="1" l="1"/>
  <c r="D80" i="1"/>
  <c r="C82" i="1"/>
  <c r="C80" i="1"/>
  <c r="C83" i="1"/>
  <c r="C39" i="8"/>
  <c r="D83" i="1"/>
  <c r="D39" i="8"/>
  <c r="E79" i="1"/>
  <c r="D40" i="8" l="1"/>
  <c r="C40" i="8"/>
  <c r="E80" i="1"/>
</calcChain>
</file>

<file path=xl/sharedStrings.xml><?xml version="1.0" encoding="utf-8"?>
<sst xmlns="http://purl.oclc.org/ooxml/spreadsheetml/main" count="300" uniqueCount="160">
  <si>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</si>
  <si>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</si>
  <si>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</si>
  <si>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</si>
  <si>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</si>
  <si>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</si>
  <si>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</si>
  <si>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</si>
  <si>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</si>
  <si>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</si>
  <si>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</si>
  <si>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</si>
  <si>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</si>
  <si>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</si>
  <si>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</si>
  <si>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</si>
  <si>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</si>
  <si>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</si>
  <si>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</si>
  <si>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</si>
  <si>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</si>
  <si>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</si>
  <si>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</si>
  <si>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</si>
  <si>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</si>
  <si>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</si>
  <si>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</si>
  <si>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</si>
  <si>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</si>
  <si>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</si>
  <si>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</si>
  <si>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</si>
  <si>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</si>
  <si>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</si>
  <si>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</si>
  <si>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</si>
  <si>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</si>
  <si>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</si>
  <si>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</si>
  <si>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</si>
  <si>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</si>
  <si>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</si>
  <si>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</si>
  <si>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</si>
  <si>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</si>
  <si>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</si>
  <si>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</si>
  <si>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</si>
  <si>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</si>
  <si>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lden</t>
  </si>
  <si>
    <t>Guski et al. (2017)</t>
  </si>
  <si>
    <t>High sleep disturbance</t>
  </si>
  <si>
    <t>lnight</t>
  </si>
  <si>
    <t>Basner and McGuire (2018)</t>
  </si>
  <si>
    <t>All-cause mortality</t>
  </si>
  <si>
    <t>relative_risk</t>
  </si>
  <si>
    <t>incidence</t>
  </si>
  <si>
    <t>Engelmann et al. (2025), ch. 3.3.1</t>
  </si>
  <si>
    <t>Cardiovascular disease</t>
  </si>
  <si>
    <t>Engelmann et al. (2025), ch. 3.3.2</t>
  </si>
  <si>
    <t>Diabetes</t>
  </si>
  <si>
    <t>Engelmann et al. (2025), ch. 3.3.3</t>
  </si>
  <si>
    <t>tbc</t>
  </si>
  <si>
    <t>IHD</t>
  </si>
  <si>
    <t>EEA_model</t>
  </si>
  <si>
    <t>END Annex III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</si>
  <si>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</si>
  <si>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</si>
  <si>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</si>
  <si>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</si>
  <si>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</si>
  <si>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</si>
  <si>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</si>
  <si>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</si>
  <si>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</si>
  <si>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</si>
  <si>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</si>
  <si>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</si>
  <si>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</si>
  <si>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</si>
  <si>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</si>
  <si>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</si>
  <si>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</si>
  <si>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</si>
  <si>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</si>
  <si>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</si>
  <si>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</si>
  <si>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</si>
  <si>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</si>
  <si>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</si>
  <si>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</si>
  <si>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</si>
  <si>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</si>
  <si>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</si>
  <si>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</si>
  <si>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</si>
  <si>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</si>
  <si>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</si>
  <si>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</si>
  <si>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</si>
  <si>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</si>
  <si>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</si>
  <si>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</si>
  <si>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</si>
  <si>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</si>
  <si>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</si>
  <si>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</si>
  <si>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</si>
  <si>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</si>
  <si>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</si>
  <si>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</si>
  <si>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</si>
  <si>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</si>
  <si>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</si>
  <si>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</si>
  <si>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</si>
  <si>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</si>
  <si>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</si>
  <si>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</si>
  <si>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</si>
  <si>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</si>
  <si>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</si>
  <si>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</si>
  <si>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</si>
  <si>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</si>
  <si>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</si>
  <si>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</si>
  <si>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</si>
  <si>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</si>
  <si>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</si>
  <si>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</si>
  <si>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</si>
  <si>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</si>
  <si>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</si>
  <si>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</si>
  <si>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</si>
  <si>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</si>
  <si>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</si>
  <si>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r>
      <t xml:space="preserve">YLL = </t>
    </r>
    <r>
      <rPr>
        <b/>
        <sz val="11"/>
        <color rgb="FFFF0000"/>
        <rFont val="Calibri"/>
        <family val="2"/>
        <scheme val="minor"/>
      </rPr>
      <t>YLLnat (= 0,2069215)</t>
    </r>
    <r>
      <rPr>
        <b/>
        <sz val="11"/>
        <color theme="1"/>
        <rFont val="Calibri"/>
        <family val="2"/>
        <scheme val="minor"/>
      </rPr>
      <t xml:space="preserve"> ∙ AFtot * Summe der Exponierten</t>
    </r>
  </si>
  <si>
    <t>Sum p[i]*ERF[Ni]</t>
  </si>
  <si>
    <t>YLD = DW * Sum p[i]*ERF[Ni] * Summe der Exponierten Lden</t>
  </si>
  <si>
    <t>YLD = DW * Sum p[i]*ERF[Ni] * Summe der Exponierten Lnight</t>
  </si>
  <si>
    <t>Kartierungsgebiet</t>
  </si>
  <si>
    <t>Quelle</t>
  </si>
  <si>
    <t>DALY pro 100.000 = (DALY / Population in Ballungsraum) * 100k</t>
  </si>
  <si>
    <t>Population in Ballungsräumen Deutschland</t>
  </si>
  <si>
    <t>EURO pro Person = EURO Ballungsraum / Population in Ballungsraum</t>
  </si>
  <si>
    <t>1 DALY =</t>
  </si>
  <si>
    <t>Anzahl belasteter Personen nach ULR</t>
  </si>
  <si>
    <t>- tba -</t>
  </si>
  <si>
    <t>END Model + Imputation</t>
  </si>
  <si>
    <t xml:space="preserve">Modellvergleiche: ULR vs ULR-WHO vs ETC HE Report </t>
  </si>
  <si>
    <r>
      <t xml:space="preserve">(78.9270 - 3.1162 * c + 0.0342 * c^2) </t>
    </r>
    <r>
      <rPr>
        <sz val="11"/>
        <color rgb="FFFF0000"/>
        <rFont val="Calibri"/>
        <family val="2"/>
        <scheme val="minor"/>
      </rPr>
      <t>/ 100</t>
    </r>
  </si>
  <si>
    <r>
      <t xml:space="preserve">(19.4312 - 0.9336 * c + 0.0126 * c^2) </t>
    </r>
    <r>
      <rPr>
        <sz val="11"/>
        <color rgb="FFFF0000"/>
        <rFont val="Calibri"/>
        <family val="2"/>
        <scheme val="minor"/>
      </rPr>
      <t>/ 100</t>
    </r>
  </si>
  <si>
    <t>ERF - vollständige Formel wie in G35 ergänzen, Formeln prüfen</t>
  </si>
  <si>
    <r>
      <t xml:space="preserve">ifelse(c&gt;threshold , ((c-threshold)*1.062)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0)</t>
    </r>
  </si>
  <si>
    <r>
      <t xml:space="preserve">ifelse(c&gt;threshold , ((c-threshold)*1.055)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0)</t>
    </r>
  </si>
  <si>
    <r>
      <t xml:space="preserve">ifelse(c&gt;threshold , ((c-threshold)*1.032)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0)</t>
    </r>
  </si>
  <si>
    <r>
      <t xml:space="preserve">ifelse(c&gt;threshold , e^((ln(1,08)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>)*(c-threshold)) , 1)</t>
    </r>
  </si>
  <si>
    <t>metric ("c")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</si>
</sst>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ck">
        <color rgb="FFFF0000"/>
      </start>
      <end/>
      <top style="thick">
        <color rgb="FFFF0000"/>
      </top>
      <bottom style="thick">
        <color rgb="FFFF0000"/>
      </bottom>
      <diagonal/>
    </border>
    <border>
      <start/>
      <end/>
      <top style="thick">
        <color rgb="FFFF0000"/>
      </top>
      <bottom style="thick">
        <color rgb="FFFF0000"/>
      </bottom>
      <diagonal/>
    </border>
    <border>
      <start/>
      <end style="thick">
        <color rgb="FFFF0000"/>
      </end>
      <top style="thick">
        <color rgb="FFFF0000"/>
      </top>
      <bottom style="thick">
        <color rgb="FFFF0000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4" fontId="0" fillId="2" borderId="9" xfId="0" applyNumberFormat="1" applyFill="1" applyBorder="1"/>
    <xf numFmtId="4" fontId="0" fillId="2" borderId="5" xfId="0" applyNumberFormat="1" applyFill="1" applyBorder="1"/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0" fillId="2" borderId="9" xfId="0" applyFill="1" applyBorder="1"/>
    <xf numFmtId="0" fontId="0" fillId="2" borderId="5" xfId="0" applyFill="1" applyBorder="1"/>
    <xf numFmtId="0" fontId="8" fillId="2" borderId="7" xfId="0" applyFont="1" applyFill="1" applyBorder="1"/>
    <xf numFmtId="0" fontId="8" fillId="2" borderId="0" xfId="0" applyFont="1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9" xfId="0" applyNumberFormat="1" applyFill="1" applyBorder="1"/>
    <xf numFmtId="0" fontId="0" fillId="2" borderId="5" xfId="0" applyNumberFormat="1" applyFill="1" applyBorder="1"/>
    <xf numFmtId="0" fontId="0" fillId="3" borderId="0" xfId="0" applyFill="1" applyAlignment="1">
      <alignment wrapText="1"/>
    </xf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0" fontId="0" fillId="3" borderId="0" xfId="0" applyFill="1"/>
    <xf numFmtId="166" fontId="0" fillId="3" borderId="5" xfId="0" applyNumberForma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8" fillId="3" borderId="0" xfId="0" applyFont="1" applyFill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5" xfId="0" applyFill="1" applyBorder="1"/>
    <xf numFmtId="0" fontId="0" fillId="4" borderId="0" xfId="0" applyFill="1" applyBorder="1"/>
    <xf numFmtId="0" fontId="0" fillId="4" borderId="0" xfId="0" quotePrefix="1" applyFill="1" applyBorder="1"/>
    <xf numFmtId="0" fontId="0" fillId="4" borderId="0" xfId="0" applyFill="1"/>
    <xf numFmtId="4" fontId="9" fillId="4" borderId="4" xfId="0" applyNumberFormat="1" applyFont="1" applyFill="1" applyBorder="1"/>
    <xf numFmtId="0" fontId="0" fillId="5" borderId="6" xfId="0" applyFill="1" applyBorder="1"/>
    <xf numFmtId="0" fontId="8" fillId="5" borderId="0" xfId="0" applyFont="1" applyFill="1"/>
    <xf numFmtId="4" fontId="9" fillId="5" borderId="4" xfId="0" applyNumberFormat="1" applyFont="1" applyFill="1" applyBorder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5" xfId="0" applyFill="1" applyBorder="1"/>
    <xf numFmtId="0" fontId="0" fillId="5" borderId="5" xfId="0" applyFill="1" applyBorder="1" applyAlignment="1">
      <alignment horizontal="left" vertical="top"/>
    </xf>
    <xf numFmtId="0" fontId="0" fillId="5" borderId="0" xfId="0" applyFill="1" applyBorder="1"/>
    <xf numFmtId="0" fontId="0" fillId="5" borderId="0" xfId="0" applyFill="1"/>
    <xf numFmtId="0" fontId="0" fillId="4" borderId="6" xfId="0" applyFill="1" applyBorder="1"/>
    <xf numFmtId="0" fontId="8" fillId="4" borderId="0" xfId="0" applyFont="1" applyFill="1"/>
    <xf numFmtId="4" fontId="7" fillId="5" borderId="4" xfId="0" applyNumberFormat="1" applyFont="1" applyFill="1" applyBorder="1"/>
    <xf numFmtId="4" fontId="12" fillId="0" borderId="4" xfId="0" applyNumberFormat="1" applyFont="1" applyFill="1" applyBorder="1"/>
    <xf numFmtId="4" fontId="7" fillId="4" borderId="4" xfId="0" applyNumberFormat="1" applyFont="1" applyFill="1" applyBorder="1"/>
    <xf numFmtId="4" fontId="14" fillId="4" borderId="4" xfId="0" applyNumberFormat="1" applyFont="1" applyFill="1" applyBorder="1"/>
    <xf numFmtId="4" fontId="14" fillId="0" borderId="4" xfId="0" applyNumberFormat="1" applyFont="1" applyFill="1" applyBorder="1"/>
    <xf numFmtId="0" fontId="0" fillId="6" borderId="0" xfId="0" applyFill="1" applyAlignment="1">
      <alignment wrapText="1"/>
    </xf>
    <xf numFmtId="0" fontId="0" fillId="6" borderId="0" xfId="0" applyFill="1"/>
    <xf numFmtId="3" fontId="0" fillId="6" borderId="0" xfId="0" applyNumberFormat="1" applyFill="1"/>
    <xf numFmtId="0" fontId="0" fillId="7" borderId="0" xfId="0" applyFill="1" applyAlignment="1">
      <alignment wrapText="1"/>
    </xf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8" borderId="11" xfId="0" applyFill="1" applyBorder="1"/>
    <xf numFmtId="0" fontId="0" fillId="0" borderId="12" xfId="0" applyBorder="1"/>
    <xf numFmtId="3" fontId="0" fillId="6" borderId="12" xfId="0" applyNumberFormat="1" applyFill="1" applyBorder="1"/>
    <xf numFmtId="3" fontId="0" fillId="0" borderId="12" xfId="0" applyNumberFormat="1" applyBorder="1"/>
    <xf numFmtId="3" fontId="0" fillId="7" borderId="12" xfId="0" applyNumberFormat="1" applyFill="1" applyBorder="1"/>
    <xf numFmtId="3" fontId="0" fillId="7" borderId="13" xfId="0" applyNumberFormat="1" applyFill="1" applyBorder="1"/>
    <xf numFmtId="0" fontId="8" fillId="0" borderId="0" xfId="0" applyFont="1" applyAlignment="1">
      <alignment horizontal="right"/>
    </xf>
    <xf numFmtId="44" fontId="8" fillId="0" borderId="0" xfId="0" applyNumberFormat="1" applyFont="1"/>
    <xf numFmtId="0" fontId="0" fillId="8" borderId="0" xfId="0" applyFill="1" applyBorder="1"/>
    <xf numFmtId="3" fontId="0" fillId="6" borderId="0" xfId="0" applyNumberFormat="1" applyFill="1" applyBorder="1"/>
    <xf numFmtId="3" fontId="0" fillId="0" borderId="0" xfId="0" applyNumberFormat="1" applyBorder="1"/>
    <xf numFmtId="3" fontId="0" fillId="7" borderId="0" xfId="0" applyNumberFormat="1" applyFill="1" applyBorder="1"/>
    <xf numFmtId="3" fontId="7" fillId="6" borderId="0" xfId="0" applyNumberFormat="1" applyFont="1" applyFill="1"/>
    <xf numFmtId="4" fontId="0" fillId="5" borderId="0" xfId="0" applyNumberFormat="1" applyFill="1"/>
    <xf numFmtId="44" fontId="0" fillId="5" borderId="0" xfId="0" applyNumberFormat="1" applyFill="1"/>
    <xf numFmtId="4" fontId="0" fillId="4" borderId="0" xfId="0" applyNumberFormat="1" applyFill="1"/>
    <xf numFmtId="44" fontId="0" fillId="4" borderId="0" xfId="0" applyNumberFormat="1" applyFill="1"/>
    <xf numFmtId="4" fontId="0" fillId="5" borderId="0" xfId="0" quotePrefix="1" applyNumberFormat="1" applyFill="1" applyAlignment="1">
      <alignment horizontal="center"/>
    </xf>
    <xf numFmtId="4" fontId="0" fillId="4" borderId="0" xfId="0" quotePrefix="1" applyNumberFormat="1" applyFill="1" applyAlignment="1">
      <alignment horizontal="center"/>
    </xf>
    <xf numFmtId="44" fontId="0" fillId="5" borderId="0" xfId="0" quotePrefix="1" applyNumberFormat="1" applyFill="1" applyAlignment="1">
      <alignment horizontal="center"/>
    </xf>
    <xf numFmtId="44" fontId="0" fillId="4" borderId="0" xfId="0" quotePrefix="1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2" Type="http://purl.oclc.org/ooxml/officeDocument/relationships/worksheet" Target="worksheets/sheet2.xml"/><Relationship Id="rId16" Type="http://purl.oclc.org/ooxml/officeDocument/relationships/calcChain" Target="calcChain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sharedStrings" Target="sharedStrings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purl.oclc.org/ooxml/officeDocument/relationships/image" Target="../media/image2.png"/><Relationship Id="rId1" Type="http://purl.oclc.org/ooxml/officeDocument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purl.oclc.org/ooxml/officeDocument/relationships/image" Target="../media/image4.png"/><Relationship Id="rId1" Type="http://purl.oclc.org/ooxml/officeDocument/relationships/image" Target="../media/image3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P45"/>
  <sheetViews>
    <sheetView workbookViewId="0">
      <selection activeCell="D48" sqref="D48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9.28515625" bestFit="1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148</v>
      </c>
      <c r="B10" s="134"/>
    </row>
    <row r="11" spans="1:16" ht="15.75" thickTop="1" x14ac:dyDescent="0.25"/>
    <row r="12" spans="1:16" x14ac:dyDescent="0.25">
      <c r="A12" s="110" t="s">
        <v>143</v>
      </c>
      <c r="B12" s="110" t="s">
        <v>142</v>
      </c>
      <c r="D12" s="136" t="s">
        <v>66</v>
      </c>
      <c r="E12" s="136"/>
      <c r="F12" s="136"/>
      <c r="G12" s="136"/>
      <c r="H12" s="136"/>
      <c r="I12" s="136"/>
      <c r="K12" s="132" t="s">
        <v>67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110</v>
      </c>
      <c r="E13" s="104" t="s">
        <v>111</v>
      </c>
      <c r="F13" s="104" t="s">
        <v>112</v>
      </c>
      <c r="G13" s="104" t="s">
        <v>113</v>
      </c>
      <c r="H13" s="104" t="s">
        <v>114</v>
      </c>
      <c r="I13" s="105" t="s">
        <v>69</v>
      </c>
      <c r="K13" s="107" t="s">
        <v>115</v>
      </c>
      <c r="L13" s="107" t="s">
        <v>116</v>
      </c>
      <c r="M13" s="107" t="s">
        <v>117</v>
      </c>
      <c r="N13" s="107" t="s">
        <v>118</v>
      </c>
      <c r="O13" s="107" t="s">
        <v>119</v>
      </c>
      <c r="P13" s="108" t="s">
        <v>69</v>
      </c>
    </row>
    <row r="14" spans="1:16" x14ac:dyDescent="0.25">
      <c r="A14" s="135" t="s">
        <v>48</v>
      </c>
      <c r="B14" s="110" t="s">
        <v>70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x14ac:dyDescent="0.25">
      <c r="A15" s="135"/>
      <c r="B15" s="119" t="s">
        <v>77</v>
      </c>
      <c r="C15" s="15"/>
      <c r="D15" s="120">
        <v>3762100</v>
      </c>
      <c r="E15" s="120">
        <v>3050900</v>
      </c>
      <c r="F15" s="120">
        <v>2479000</v>
      </c>
      <c r="G15" s="120">
        <v>1006400</v>
      </c>
      <c r="H15" s="120">
        <v>99800</v>
      </c>
      <c r="I15" s="120">
        <f t="shared" ref="I15:I23" si="0">SUM(D15:H15)</f>
        <v>10398200</v>
      </c>
      <c r="J15" s="121"/>
      <c r="K15" s="122">
        <v>3383500</v>
      </c>
      <c r="L15" s="122">
        <v>2682400</v>
      </c>
      <c r="M15" s="122">
        <v>1283500</v>
      </c>
      <c r="N15" s="122">
        <v>156200</v>
      </c>
      <c r="O15" s="122">
        <v>4900</v>
      </c>
      <c r="P15" s="122">
        <f t="shared" ref="P15:P23" si="1">SUM(K15:O15)</f>
        <v>7510500</v>
      </c>
    </row>
    <row r="16" spans="1:16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71</v>
      </c>
      <c r="B18" s="110" t="s">
        <v>72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73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74</v>
      </c>
      <c r="B22" s="110" t="s">
        <v>75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76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130</v>
      </c>
      <c r="B32" s="134"/>
    </row>
    <row r="33" spans="2:4" ht="15.75" thickTop="1" x14ac:dyDescent="0.25"/>
    <row r="34" spans="2:4" x14ac:dyDescent="0.25">
      <c r="B34" s="110"/>
      <c r="C34" s="106" t="s">
        <v>66</v>
      </c>
      <c r="D34" s="109" t="s">
        <v>67</v>
      </c>
    </row>
    <row r="35" spans="2:4" x14ac:dyDescent="0.25">
      <c r="B35" s="110" t="s">
        <v>148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92</v>
      </c>
      <c r="D38" s="85" t="s">
        <v>128</v>
      </c>
    </row>
    <row r="39" spans="2:4" x14ac:dyDescent="0.25">
      <c r="B39" s="33" t="s">
        <v>91</v>
      </c>
      <c r="C39" s="124">
        <f>'Agglomeration road'!C79</f>
        <v>27420.859000423719</v>
      </c>
      <c r="D39" s="126">
        <f>'Agglomeration road'!D79</f>
        <v>308626.30242553435</v>
      </c>
    </row>
    <row r="40" spans="2:4" x14ac:dyDescent="0.25">
      <c r="B40" s="33" t="s">
        <v>97</v>
      </c>
      <c r="C40" s="125">
        <f>'Agglomeration road'!C80</f>
        <v>1919460130.0296605</v>
      </c>
      <c r="D40" s="127">
        <f>'Agglomeration road'!D80</f>
        <v>21603841169.787403</v>
      </c>
    </row>
    <row r="44" spans="2:4" x14ac:dyDescent="0.25">
      <c r="B44" s="4"/>
    </row>
    <row r="45" spans="2:4" x14ac:dyDescent="0.25">
      <c r="B45" s="4"/>
    </row>
  </sheetData>
  <mergeCells count="8">
    <mergeCell ref="K12:P12"/>
    <mergeCell ref="A5:G5"/>
    <mergeCell ref="A32:B32"/>
    <mergeCell ref="A10:B10"/>
    <mergeCell ref="A14:A15"/>
    <mergeCell ref="A18:A19"/>
    <mergeCell ref="A22:A23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578C-B553-47BE-9A2E-931A94425EB8}">
  <dimension ref="A1:P40"/>
  <sheetViews>
    <sheetView workbookViewId="0">
      <selection activeCell="F41" sqref="F41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8.28515625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148</v>
      </c>
      <c r="B10" s="134"/>
    </row>
    <row r="11" spans="1:16" ht="15.75" thickTop="1" x14ac:dyDescent="0.25"/>
    <row r="12" spans="1:16" x14ac:dyDescent="0.25">
      <c r="A12" s="110" t="s">
        <v>143</v>
      </c>
      <c r="B12" s="110" t="s">
        <v>142</v>
      </c>
      <c r="D12" s="136" t="s">
        <v>66</v>
      </c>
      <c r="E12" s="136"/>
      <c r="F12" s="136"/>
      <c r="G12" s="136"/>
      <c r="H12" s="136"/>
      <c r="I12" s="136"/>
      <c r="K12" s="132" t="s">
        <v>67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110</v>
      </c>
      <c r="E13" s="104" t="s">
        <v>111</v>
      </c>
      <c r="F13" s="104" t="s">
        <v>112</v>
      </c>
      <c r="G13" s="104" t="s">
        <v>113</v>
      </c>
      <c r="H13" s="104" t="s">
        <v>114</v>
      </c>
      <c r="I13" s="105" t="s">
        <v>69</v>
      </c>
      <c r="K13" s="107" t="s">
        <v>115</v>
      </c>
      <c r="L13" s="107" t="s">
        <v>116</v>
      </c>
      <c r="M13" s="107" t="s">
        <v>117</v>
      </c>
      <c r="N13" s="107" t="s">
        <v>118</v>
      </c>
      <c r="O13" s="107" t="s">
        <v>119</v>
      </c>
      <c r="P13" s="108" t="s">
        <v>69</v>
      </c>
    </row>
    <row r="14" spans="1:16" ht="15.75" thickBot="1" x14ac:dyDescent="0.3">
      <c r="A14" s="135" t="s">
        <v>48</v>
      </c>
      <c r="B14" s="110" t="s">
        <v>70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ht="16.5" thickTop="1" thickBot="1" x14ac:dyDescent="0.3">
      <c r="A15" s="135"/>
      <c r="B15" s="111" t="s">
        <v>77</v>
      </c>
      <c r="C15" s="112"/>
      <c r="D15" s="113">
        <v>3762100</v>
      </c>
      <c r="E15" s="113">
        <v>3050900</v>
      </c>
      <c r="F15" s="113">
        <v>2479000</v>
      </c>
      <c r="G15" s="113">
        <v>1006400</v>
      </c>
      <c r="H15" s="113">
        <v>99800</v>
      </c>
      <c r="I15" s="113">
        <f t="shared" ref="I15:I23" si="0">SUM(D15:H15)</f>
        <v>10398200</v>
      </c>
      <c r="J15" s="114"/>
      <c r="K15" s="115">
        <v>3383500</v>
      </c>
      <c r="L15" s="115">
        <v>2682400</v>
      </c>
      <c r="M15" s="115">
        <v>1283500</v>
      </c>
      <c r="N15" s="115">
        <v>156200</v>
      </c>
      <c r="O15" s="115">
        <v>4900</v>
      </c>
      <c r="P15" s="116">
        <f t="shared" ref="P15:P23" si="1">SUM(K15:O15)</f>
        <v>7510500</v>
      </c>
    </row>
    <row r="16" spans="1:16" ht="15.75" thickTop="1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71</v>
      </c>
      <c r="B18" s="110" t="s">
        <v>72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73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74</v>
      </c>
      <c r="B22" s="110" t="s">
        <v>75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76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130</v>
      </c>
      <c r="B32" s="134"/>
    </row>
    <row r="33" spans="2:4" ht="15.75" thickTop="1" x14ac:dyDescent="0.25"/>
    <row r="34" spans="2:4" x14ac:dyDescent="0.25">
      <c r="B34" s="110"/>
      <c r="C34" s="106" t="s">
        <v>66</v>
      </c>
      <c r="D34" s="109" t="s">
        <v>67</v>
      </c>
    </row>
    <row r="35" spans="2:4" x14ac:dyDescent="0.25">
      <c r="B35" s="110" t="s">
        <v>148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92</v>
      </c>
      <c r="D38" s="85" t="s">
        <v>128</v>
      </c>
    </row>
    <row r="39" spans="2:4" x14ac:dyDescent="0.25">
      <c r="B39" s="33" t="s">
        <v>91</v>
      </c>
      <c r="C39" s="128" t="s">
        <v>149</v>
      </c>
      <c r="D39" s="129" t="s">
        <v>149</v>
      </c>
    </row>
    <row r="40" spans="2:4" x14ac:dyDescent="0.25">
      <c r="B40" s="33" t="s">
        <v>97</v>
      </c>
      <c r="C40" s="130" t="s">
        <v>149</v>
      </c>
      <c r="D40" s="131" t="s">
        <v>149</v>
      </c>
    </row>
  </sheetData>
  <mergeCells count="8">
    <mergeCell ref="A18:A19"/>
    <mergeCell ref="A22:A23"/>
    <mergeCell ref="A32:B32"/>
    <mergeCell ref="A5:G5"/>
    <mergeCell ref="A10:B10"/>
    <mergeCell ref="D12:I12"/>
    <mergeCell ref="K12:P12"/>
    <mergeCell ref="A14:A15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8"/>
  <sheetViews>
    <sheetView tabSelected="1" zoomScaleNormal="100" workbookViewId="0">
      <selection activeCell="G30" sqref="G30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49" bestFit="1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66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67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106</v>
      </c>
      <c r="D12" s="1" t="s">
        <v>105</v>
      </c>
      <c r="E12" s="1" t="s">
        <v>104</v>
      </c>
      <c r="F12" s="1" t="s">
        <v>107</v>
      </c>
      <c r="G12" s="1" t="s">
        <v>108</v>
      </c>
      <c r="H12" s="1" t="s">
        <v>109</v>
      </c>
      <c r="I12" s="1" t="s">
        <v>68</v>
      </c>
    </row>
    <row r="13" spans="1:9" x14ac:dyDescent="0.25">
      <c r="B13" s="1" t="s">
        <v>66</v>
      </c>
      <c r="C13" s="6">
        <f>Frontend!$I$15*C8</f>
        <v>14817.435000000001</v>
      </c>
      <c r="D13" s="6">
        <f>Frontend!$I$15*D8</f>
        <v>43360.493999999999</v>
      </c>
      <c r="E13" s="6">
        <f>Frontend!$I$15*E8</f>
        <v>175282.45740000001</v>
      </c>
      <c r="F13" s="6">
        <f>Frontend!$I$15*F8</f>
        <v>708356.57860000001</v>
      </c>
      <c r="G13" s="6">
        <f>Frontend!$I$15*G8</f>
        <v>2895888.3018</v>
      </c>
      <c r="H13" s="6">
        <f>Frontend!$I$15*H8</f>
        <v>6560515.5296</v>
      </c>
      <c r="I13" s="6">
        <f>SUM(C13:H13)</f>
        <v>10398220.796399999</v>
      </c>
    </row>
    <row r="14" spans="1:9" x14ac:dyDescent="0.25">
      <c r="B14" t="s">
        <v>67</v>
      </c>
      <c r="C14" s="6">
        <f>Frontend!$P$15*C9</f>
        <v>64582.789500000006</v>
      </c>
      <c r="D14" s="6">
        <f>Frontend!$P$15*D9</f>
        <v>239111.78849999997</v>
      </c>
      <c r="E14" s="6">
        <f>Frontend!$P$15*E9</f>
        <v>1126116.8595</v>
      </c>
      <c r="F14" s="6">
        <f>Frontend!$P$15*F9</f>
        <v>2838600.9855</v>
      </c>
      <c r="G14" s="6">
        <f>Frontend!$P$15*G9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66</v>
      </c>
      <c r="C18" s="8">
        <f>Frontend!$I$15+I13</f>
        <v>20796420.796399999</v>
      </c>
    </row>
    <row r="19" spans="1:13" x14ac:dyDescent="0.25">
      <c r="B19" t="s">
        <v>67</v>
      </c>
      <c r="C19" s="8">
        <f>Frontend!$P$15+I14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62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s="4" t="s">
        <v>154</v>
      </c>
      <c r="H29" t="s">
        <v>159</v>
      </c>
      <c r="I29" t="s">
        <v>79</v>
      </c>
      <c r="J29" t="s">
        <v>42</v>
      </c>
      <c r="K29" t="s">
        <v>43</v>
      </c>
      <c r="L29" t="s">
        <v>64</v>
      </c>
      <c r="M29" t="s">
        <v>41</v>
      </c>
    </row>
    <row r="30" spans="1:13" x14ac:dyDescent="0.25">
      <c r="B30" t="s">
        <v>87</v>
      </c>
      <c r="C30" t="s">
        <v>45</v>
      </c>
      <c r="D30" t="s">
        <v>46</v>
      </c>
      <c r="E30" t="s">
        <v>47</v>
      </c>
      <c r="F30" t="s">
        <v>48</v>
      </c>
      <c r="G30" t="s">
        <v>152</v>
      </c>
      <c r="H30" t="s">
        <v>49</v>
      </c>
      <c r="I30" s="27">
        <v>45</v>
      </c>
      <c r="J30">
        <v>1.0999999999999999E-2</v>
      </c>
      <c r="K30">
        <v>1</v>
      </c>
      <c r="L30">
        <v>1</v>
      </c>
      <c r="M30" t="s">
        <v>50</v>
      </c>
    </row>
    <row r="31" spans="1:13" x14ac:dyDescent="0.25">
      <c r="B31" t="s">
        <v>88</v>
      </c>
      <c r="C31" t="s">
        <v>45</v>
      </c>
      <c r="D31" t="s">
        <v>46</v>
      </c>
      <c r="E31" t="s">
        <v>47</v>
      </c>
      <c r="F31" t="s">
        <v>48</v>
      </c>
      <c r="G31" t="s">
        <v>153</v>
      </c>
      <c r="H31" t="s">
        <v>52</v>
      </c>
      <c r="I31" s="27">
        <v>40</v>
      </c>
      <c r="J31">
        <v>0.01</v>
      </c>
      <c r="K31">
        <v>1</v>
      </c>
      <c r="L31">
        <v>1</v>
      </c>
      <c r="M31" t="s">
        <v>53</v>
      </c>
    </row>
    <row r="32" spans="1:13" x14ac:dyDescent="0.25">
      <c r="B32" t="s">
        <v>54</v>
      </c>
      <c r="C32" t="s">
        <v>55</v>
      </c>
      <c r="D32" t="s">
        <v>56</v>
      </c>
      <c r="E32" t="s">
        <v>47</v>
      </c>
      <c r="F32" t="s">
        <v>48</v>
      </c>
      <c r="G32" s="8" t="s">
        <v>156</v>
      </c>
      <c r="H32" t="s">
        <v>49</v>
      </c>
      <c r="I32" s="27">
        <v>45</v>
      </c>
      <c r="K32">
        <v>0</v>
      </c>
      <c r="L32">
        <v>1</v>
      </c>
      <c r="M32" t="s">
        <v>57</v>
      </c>
    </row>
    <row r="33" spans="1:21" x14ac:dyDescent="0.25">
      <c r="B33" t="s">
        <v>89</v>
      </c>
      <c r="C33" t="s">
        <v>55</v>
      </c>
      <c r="D33" t="s">
        <v>56</v>
      </c>
      <c r="E33" t="s">
        <v>47</v>
      </c>
      <c r="F33" t="s">
        <v>48</v>
      </c>
      <c r="G33" s="8" t="s">
        <v>157</v>
      </c>
      <c r="H33" t="s">
        <v>49</v>
      </c>
      <c r="I33">
        <v>45</v>
      </c>
      <c r="K33">
        <v>0</v>
      </c>
      <c r="L33">
        <v>1</v>
      </c>
      <c r="M33" t="s">
        <v>59</v>
      </c>
    </row>
    <row r="34" spans="1:21" x14ac:dyDescent="0.25">
      <c r="B34" t="s">
        <v>60</v>
      </c>
      <c r="C34" t="s">
        <v>55</v>
      </c>
      <c r="D34" t="s">
        <v>56</v>
      </c>
      <c r="E34" t="s">
        <v>47</v>
      </c>
      <c r="F34" t="s">
        <v>48</v>
      </c>
      <c r="G34" s="8" t="s">
        <v>155</v>
      </c>
      <c r="H34" t="s">
        <v>49</v>
      </c>
      <c r="I34">
        <v>45</v>
      </c>
      <c r="K34">
        <v>0</v>
      </c>
      <c r="L34">
        <v>1</v>
      </c>
      <c r="M34" t="s">
        <v>61</v>
      </c>
    </row>
    <row r="35" spans="1:21" x14ac:dyDescent="0.25">
      <c r="B35" t="s">
        <v>90</v>
      </c>
      <c r="C35" t="s">
        <v>55</v>
      </c>
      <c r="D35" t="s">
        <v>56</v>
      </c>
      <c r="E35" t="s">
        <v>47</v>
      </c>
      <c r="F35" t="s">
        <v>48</v>
      </c>
      <c r="G35" s="8" t="s">
        <v>158</v>
      </c>
      <c r="H35" t="s">
        <v>49</v>
      </c>
      <c r="I35">
        <v>53</v>
      </c>
      <c r="K35">
        <v>1</v>
      </c>
      <c r="L35">
        <v>0</v>
      </c>
      <c r="M35" t="s">
        <v>65</v>
      </c>
    </row>
    <row r="38" spans="1:21" ht="18" thickBot="1" x14ac:dyDescent="0.35">
      <c r="A38" s="12" t="s">
        <v>82</v>
      </c>
    </row>
    <row r="39" spans="1:21" ht="15.75" thickTop="1" x14ac:dyDescent="0.25"/>
    <row r="40" spans="1:21" x14ac:dyDescent="0.25">
      <c r="C40" s="15"/>
      <c r="E40" s="137" t="s">
        <v>84</v>
      </c>
      <c r="F40" s="137"/>
      <c r="G40" s="137"/>
      <c r="H40" s="137"/>
      <c r="I40" s="137"/>
      <c r="J40" s="137"/>
      <c r="K40" s="138" t="s">
        <v>83</v>
      </c>
      <c r="L40" s="139"/>
      <c r="M40" s="139"/>
      <c r="N40" s="139"/>
      <c r="O40" s="139"/>
    </row>
    <row r="41" spans="1:21" ht="30" x14ac:dyDescent="0.25">
      <c r="D41" s="15" t="s">
        <v>137</v>
      </c>
      <c r="E41" s="64" t="s">
        <v>106</v>
      </c>
      <c r="F41" s="64" t="s">
        <v>105</v>
      </c>
      <c r="G41" s="64" t="s">
        <v>104</v>
      </c>
      <c r="H41" s="64" t="s">
        <v>107</v>
      </c>
      <c r="I41" s="64" t="s">
        <v>108</v>
      </c>
      <c r="J41" s="64" t="s">
        <v>109</v>
      </c>
      <c r="K41" s="49" t="s">
        <v>110</v>
      </c>
      <c r="L41" s="50" t="s">
        <v>111</v>
      </c>
      <c r="M41" s="50" t="s">
        <v>112</v>
      </c>
      <c r="N41" s="50" t="s">
        <v>113</v>
      </c>
      <c r="O41" s="50" t="s">
        <v>114</v>
      </c>
    </row>
    <row r="42" spans="1:21" x14ac:dyDescent="0.25">
      <c r="A42" s="144" t="s">
        <v>94</v>
      </c>
      <c r="B42" s="43" t="s">
        <v>78</v>
      </c>
      <c r="C42" s="18"/>
      <c r="D42" s="29">
        <f>SUM(E42:O42)</f>
        <v>20796420.796399999</v>
      </c>
      <c r="E42" s="65">
        <f t="shared" ref="E42:J42" si="0">C13</f>
        <v>14817.435000000001</v>
      </c>
      <c r="F42" s="65">
        <f t="shared" si="0"/>
        <v>43360.493999999999</v>
      </c>
      <c r="G42" s="65">
        <f t="shared" si="0"/>
        <v>175282.45740000001</v>
      </c>
      <c r="H42" s="65">
        <f t="shared" si="0"/>
        <v>708356.57860000001</v>
      </c>
      <c r="I42" s="65">
        <f t="shared" si="0"/>
        <v>2895888.3018</v>
      </c>
      <c r="J42" s="65">
        <f t="shared" si="0"/>
        <v>6560515.5296</v>
      </c>
      <c r="K42" s="51">
        <f>Frontend!D15</f>
        <v>3762100</v>
      </c>
      <c r="L42" s="52">
        <f>Frontend!E15</f>
        <v>3050900</v>
      </c>
      <c r="M42" s="52">
        <f>Frontend!F15</f>
        <v>2479000</v>
      </c>
      <c r="N42" s="52">
        <f>Frontend!G15</f>
        <v>1006400</v>
      </c>
      <c r="O42" s="52">
        <f>Frontend!H15</f>
        <v>99800</v>
      </c>
      <c r="Q42" s="8"/>
      <c r="R42" s="8"/>
      <c r="S42" s="8"/>
      <c r="T42" s="8"/>
      <c r="U42" s="8"/>
    </row>
    <row r="43" spans="1:21" x14ac:dyDescent="0.25">
      <c r="A43" s="145"/>
      <c r="B43" s="15" t="s">
        <v>100</v>
      </c>
      <c r="C43" s="15"/>
      <c r="D43" s="15"/>
      <c r="E43" s="66">
        <v>27</v>
      </c>
      <c r="F43" s="66">
        <v>32</v>
      </c>
      <c r="G43" s="66">
        <v>37</v>
      </c>
      <c r="H43" s="66">
        <v>42</v>
      </c>
      <c r="I43" s="66">
        <v>47</v>
      </c>
      <c r="J43" s="66">
        <v>52</v>
      </c>
      <c r="K43" s="53">
        <v>57</v>
      </c>
      <c r="L43" s="54">
        <v>62</v>
      </c>
      <c r="M43" s="54">
        <v>67</v>
      </c>
      <c r="N43" s="54">
        <v>72</v>
      </c>
      <c r="O43" s="55">
        <v>77</v>
      </c>
    </row>
    <row r="44" spans="1:21" x14ac:dyDescent="0.25">
      <c r="A44" s="146"/>
      <c r="B44" s="19" t="s">
        <v>101</v>
      </c>
      <c r="C44" s="15"/>
      <c r="D44" s="15"/>
      <c r="E44" s="66">
        <f>E42/$D$42</f>
        <v>7.1249928750071259E-4</v>
      </c>
      <c r="F44" s="66">
        <f t="shared" ref="F44:O44" si="1">F42/$D$42</f>
        <v>2.0849979150020848E-3</v>
      </c>
      <c r="G44" s="66">
        <f t="shared" si="1"/>
        <v>8.4284915715084289E-3</v>
      </c>
      <c r="H44" s="66">
        <f t="shared" si="1"/>
        <v>3.4061465938534062E-2</v>
      </c>
      <c r="I44" s="66">
        <f t="shared" si="1"/>
        <v>0.13924936075063926</v>
      </c>
      <c r="J44" s="66">
        <f t="shared" si="1"/>
        <v>0.31546368453631546</v>
      </c>
      <c r="K44" s="53">
        <f t="shared" si="1"/>
        <v>0.18090132128174888</v>
      </c>
      <c r="L44" s="54">
        <f t="shared" si="1"/>
        <v>0.14670312886379619</v>
      </c>
      <c r="M44" s="54">
        <f t="shared" si="1"/>
        <v>0.11920320444896612</v>
      </c>
      <c r="N44" s="54">
        <f t="shared" si="1"/>
        <v>4.8392942701669828E-2</v>
      </c>
      <c r="O44" s="54">
        <f t="shared" si="1"/>
        <v>4.7989027043190075E-3</v>
      </c>
    </row>
    <row r="45" spans="1:21" s="18" customFormat="1" x14ac:dyDescent="0.25">
      <c r="A45" s="22" t="s">
        <v>95</v>
      </c>
      <c r="C45" s="93" t="s">
        <v>92</v>
      </c>
      <c r="D45" s="82" t="s">
        <v>128</v>
      </c>
      <c r="E45" s="67"/>
      <c r="F45" s="67"/>
      <c r="G45" s="67"/>
      <c r="H45" s="67"/>
      <c r="I45" s="67"/>
      <c r="J45" s="67"/>
      <c r="K45" s="56"/>
      <c r="L45" s="57"/>
      <c r="M45" s="57"/>
      <c r="N45" s="57"/>
      <c r="O45" s="57"/>
    </row>
    <row r="46" spans="1:21" x14ac:dyDescent="0.25">
      <c r="A46" s="144" t="s">
        <v>54</v>
      </c>
      <c r="B46" s="17" t="s">
        <v>102</v>
      </c>
      <c r="C46" s="91"/>
      <c r="D46" s="82"/>
      <c r="E46" s="67">
        <f>IF(E43&gt;$I$32, EXP((LN(1.055)/10)*(E43-$I$32)),1)</f>
        <v>1</v>
      </c>
      <c r="F46" s="67">
        <f t="shared" ref="F46:O46" si="2">IF(F43&gt;$I$32, EXP((LN(1.055)/10)*(F43-$I$32)),1)</f>
        <v>1</v>
      </c>
      <c r="G46" s="67">
        <f>IF(G43&gt;$I$32, EXP((LN(1.055)/10)*(G43-$I$32)),1)</f>
        <v>1</v>
      </c>
      <c r="H46" s="67">
        <f t="shared" si="2"/>
        <v>1</v>
      </c>
      <c r="I46" s="67">
        <f t="shared" si="2"/>
        <v>1.0107656908500073</v>
      </c>
      <c r="J46" s="67">
        <f t="shared" si="2"/>
        <v>1.0381897140207395</v>
      </c>
      <c r="K46" s="56">
        <f t="shared" si="2"/>
        <v>1.0663578038467578</v>
      </c>
      <c r="L46" s="57">
        <f t="shared" si="2"/>
        <v>1.09529014829188</v>
      </c>
      <c r="M46" s="57">
        <f t="shared" si="2"/>
        <v>1.1250074830583294</v>
      </c>
      <c r="N46" s="57">
        <f t="shared" si="2"/>
        <v>1.1555311064479334</v>
      </c>
      <c r="O46" s="57">
        <f t="shared" si="2"/>
        <v>1.1868828946265373</v>
      </c>
    </row>
    <row r="47" spans="1:21" x14ac:dyDescent="0.25">
      <c r="A47" s="145"/>
      <c r="B47" s="15" t="s">
        <v>81</v>
      </c>
      <c r="C47" s="92">
        <f>SUM(K47:O47)</f>
        <v>4.9308310609276644E-2</v>
      </c>
      <c r="D47" s="83">
        <f>SUM(E47:O47)</f>
        <v>6.2854894074549819E-2</v>
      </c>
      <c r="E47" s="68">
        <f>E44*(E46-1)</f>
        <v>0</v>
      </c>
      <c r="F47" s="68">
        <f t="shared" ref="F47:O47" si="3">F44*(F46-1)</f>
        <v>0</v>
      </c>
      <c r="G47" s="68">
        <f>G44*(G46-1)</f>
        <v>0</v>
      </c>
      <c r="H47" s="68">
        <f t="shared" si="3"/>
        <v>0</v>
      </c>
      <c r="I47" s="68">
        <f t="shared" si="3"/>
        <v>1.4991155689025278E-3</v>
      </c>
      <c r="J47" s="68">
        <f t="shared" si="3"/>
        <v>1.2047467896370654E-2</v>
      </c>
      <c r="K47" s="58">
        <f t="shared" si="3"/>
        <v>1.2004214393233608E-2</v>
      </c>
      <c r="L47" s="59">
        <f t="shared" si="3"/>
        <v>1.3979362904313918E-2</v>
      </c>
      <c r="M47" s="59">
        <f t="shared" si="3"/>
        <v>1.4901292560652712E-2</v>
      </c>
      <c r="N47" s="59">
        <f t="shared" si="3"/>
        <v>7.5266079226621535E-3</v>
      </c>
      <c r="O47" s="59">
        <f t="shared" si="3"/>
        <v>8.9683282841425394E-4</v>
      </c>
    </row>
    <row r="48" spans="1:21" x14ac:dyDescent="0.25">
      <c r="A48" s="145"/>
      <c r="B48" s="15" t="s">
        <v>103</v>
      </c>
      <c r="C48" s="92">
        <f>(C47)/(1+C47)</f>
        <v>4.6991251389828383E-2</v>
      </c>
      <c r="D48" s="84">
        <f>(D47)/(1+D47)</f>
        <v>5.9137794279320602E-2</v>
      </c>
      <c r="E48" s="66"/>
      <c r="F48" s="66"/>
      <c r="G48" s="66"/>
      <c r="H48" s="66"/>
      <c r="I48" s="66"/>
      <c r="J48" s="66"/>
      <c r="K48" s="53"/>
      <c r="L48" s="54"/>
      <c r="M48" s="54"/>
      <c r="N48" s="54"/>
      <c r="O48" s="54"/>
    </row>
    <row r="49" spans="1:15" x14ac:dyDescent="0.25">
      <c r="A49" s="146"/>
      <c r="B49" s="42" t="s">
        <v>138</v>
      </c>
      <c r="C49" s="103">
        <f>0.2069215*C48*D42</f>
        <v>202214.00228176778</v>
      </c>
      <c r="D49" s="102">
        <f>0.2069215*D48*D42</f>
        <v>254483.32856966133</v>
      </c>
      <c r="E49" s="69"/>
      <c r="F49" s="69"/>
      <c r="G49" s="69"/>
      <c r="H49" s="69"/>
      <c r="I49" s="69"/>
      <c r="J49" s="69"/>
      <c r="K49" s="60"/>
      <c r="L49" s="61"/>
      <c r="M49" s="61"/>
      <c r="N49" s="61"/>
      <c r="O49" s="61"/>
    </row>
    <row r="50" spans="1:15" x14ac:dyDescent="0.25">
      <c r="A50" s="144" t="s">
        <v>58</v>
      </c>
      <c r="B50" s="17" t="s">
        <v>102</v>
      </c>
      <c r="C50" s="91"/>
      <c r="D50" s="82"/>
      <c r="E50" s="67">
        <f>IF(E43&gt;$I$33, EXP((LN(1.032)/10)*(E43-$I$33)),1)</f>
        <v>1</v>
      </c>
      <c r="F50" s="67">
        <f t="shared" ref="F50:O50" si="4">IF(F43&gt;$I$33, EXP((LN(1.032)/10)*(F43-$I$33)),1)</f>
        <v>1</v>
      </c>
      <c r="G50" s="67">
        <f t="shared" si="4"/>
        <v>1</v>
      </c>
      <c r="H50" s="67">
        <f t="shared" si="4"/>
        <v>1</v>
      </c>
      <c r="I50" s="67">
        <f t="shared" si="4"/>
        <v>1.0063196184673233</v>
      </c>
      <c r="J50" s="67">
        <f t="shared" si="4"/>
        <v>1.0222939440770498</v>
      </c>
      <c r="K50" s="56">
        <f t="shared" si="4"/>
        <v>1.0385218462582777</v>
      </c>
      <c r="L50" s="57">
        <f t="shared" si="4"/>
        <v>1.0550073502875155</v>
      </c>
      <c r="M50" s="57">
        <f t="shared" si="4"/>
        <v>1.0717545453385426</v>
      </c>
      <c r="N50" s="57">
        <f t="shared" si="4"/>
        <v>1.088767585496716</v>
      </c>
      <c r="O50" s="57">
        <f t="shared" si="4"/>
        <v>1.1060506907893759</v>
      </c>
    </row>
    <row r="51" spans="1:15" x14ac:dyDescent="0.25">
      <c r="A51" s="145"/>
      <c r="B51" s="15" t="s">
        <v>81</v>
      </c>
      <c r="C51" s="92">
        <f>SUM(K51:O51)</f>
        <v>2.8396426647685286E-2</v>
      </c>
      <c r="D51" s="83">
        <f>SUM(E51:O51)</f>
        <v>3.6309359220840685E-2</v>
      </c>
      <c r="E51" s="66">
        <f>E44*(E50-1)</f>
        <v>0</v>
      </c>
      <c r="F51" s="66">
        <f t="shared" ref="F51:O51" si="5">F44*(F50-1)</f>
        <v>0</v>
      </c>
      <c r="G51" s="66">
        <f t="shared" si="5"/>
        <v>0</v>
      </c>
      <c r="H51" s="66">
        <f t="shared" si="5"/>
        <v>0</v>
      </c>
      <c r="I51" s="66">
        <f t="shared" si="5"/>
        <v>8.8000283176270673E-4</v>
      </c>
      <c r="J51" s="66">
        <f t="shared" si="5"/>
        <v>7.0329297413926854E-3</v>
      </c>
      <c r="K51" s="53">
        <f t="shared" si="5"/>
        <v>6.9686528863348307E-3</v>
      </c>
      <c r="L51" s="54">
        <f t="shared" si="5"/>
        <v>8.0697503976853574E-3</v>
      </c>
      <c r="M51" s="54">
        <f t="shared" si="5"/>
        <v>8.5533717381329078E-3</v>
      </c>
      <c r="N51" s="54">
        <f t="shared" si="5"/>
        <v>4.2957246787081573E-3</v>
      </c>
      <c r="O51" s="54">
        <f t="shared" si="5"/>
        <v>5.0892694682403491E-4</v>
      </c>
    </row>
    <row r="52" spans="1:15" x14ac:dyDescent="0.25">
      <c r="A52" s="145"/>
      <c r="B52" s="15" t="s">
        <v>103</v>
      </c>
      <c r="C52" s="92">
        <f>C51/(1+C51)</f>
        <v>2.7612335002223338E-2</v>
      </c>
      <c r="D52" s="83">
        <f>D51/(1+D51)</f>
        <v>3.503718160775874E-2</v>
      </c>
      <c r="E52" s="66"/>
      <c r="F52" s="66"/>
      <c r="G52" s="66"/>
      <c r="H52" s="66"/>
      <c r="I52" s="66"/>
      <c r="J52" s="66"/>
      <c r="K52" s="53"/>
      <c r="L52" s="54"/>
      <c r="M52" s="54"/>
      <c r="N52" s="54"/>
      <c r="O52" s="54"/>
    </row>
    <row r="53" spans="1:15" x14ac:dyDescent="0.25">
      <c r="A53" s="146"/>
      <c r="B53" s="42" t="s">
        <v>125</v>
      </c>
      <c r="C53" s="100">
        <f>0.0115708*C52*D42</f>
        <v>6644.3900174318323</v>
      </c>
      <c r="D53" s="101">
        <f>0.0115708*D52*D42</f>
        <v>8431.0399571348571</v>
      </c>
      <c r="E53" s="69"/>
      <c r="F53" s="69"/>
      <c r="G53" s="69"/>
      <c r="H53" s="69"/>
      <c r="I53" s="69"/>
      <c r="J53" s="69"/>
      <c r="K53" s="60"/>
      <c r="L53" s="61"/>
      <c r="M53" s="61"/>
      <c r="N53" s="61"/>
      <c r="O53" s="61"/>
    </row>
    <row r="54" spans="1:15" x14ac:dyDescent="0.25">
      <c r="A54" s="144" t="s">
        <v>60</v>
      </c>
      <c r="B54" s="17" t="s">
        <v>102</v>
      </c>
      <c r="C54" s="91"/>
      <c r="D54" s="82"/>
      <c r="E54" s="67">
        <f>IF(E43&gt;$I$34, EXP((LN(1.062)/10)*(E43-$I$34)),1)</f>
        <v>1</v>
      </c>
      <c r="F54" s="67">
        <f t="shared" ref="F54:O54" si="6">IF(F43&gt;$I$34, EXP((LN(1.062)/10)*(F43-$I$34)),1)</f>
        <v>1</v>
      </c>
      <c r="G54" s="67">
        <f t="shared" si="6"/>
        <v>1</v>
      </c>
      <c r="H54" s="67">
        <f t="shared" si="6"/>
        <v>1</v>
      </c>
      <c r="I54" s="67">
        <f t="shared" si="6"/>
        <v>1.0121034455497457</v>
      </c>
      <c r="J54" s="67">
        <f t="shared" si="6"/>
        <v>1.043006852485771</v>
      </c>
      <c r="K54" s="56">
        <f t="shared" si="6"/>
        <v>1.0748538591738301</v>
      </c>
      <c r="L54" s="57">
        <f t="shared" si="6"/>
        <v>1.1076732773398887</v>
      </c>
      <c r="M54" s="57">
        <f t="shared" si="6"/>
        <v>1.1414947984426076</v>
      </c>
      <c r="N54" s="57">
        <f t="shared" si="6"/>
        <v>1.1763490205349618</v>
      </c>
      <c r="O54" s="57">
        <f t="shared" si="6"/>
        <v>1.2122674759460494</v>
      </c>
    </row>
    <row r="55" spans="1:15" x14ac:dyDescent="0.25">
      <c r="A55" s="145"/>
      <c r="B55" s="15" t="s">
        <v>81</v>
      </c>
      <c r="C55" s="92">
        <f>SUM(K55:O55)</f>
        <v>5.5756501106184665E-2</v>
      </c>
      <c r="D55" s="83">
        <f>SUM(E55:O55)</f>
        <v>7.1008998307338034E-2</v>
      </c>
      <c r="E55" s="66">
        <f>E44*(E54-1)</f>
        <v>0</v>
      </c>
      <c r="F55" s="66">
        <f t="shared" ref="F55:O55" si="7">F44*(F54-1)</f>
        <v>0</v>
      </c>
      <c r="G55" s="66">
        <f t="shared" si="7"/>
        <v>0</v>
      </c>
      <c r="H55" s="66">
        <f t="shared" si="7"/>
        <v>0</v>
      </c>
      <c r="I55" s="66">
        <f t="shared" si="7"/>
        <v>1.6853970556822639E-3</v>
      </c>
      <c r="J55" s="66">
        <f t="shared" si="7"/>
        <v>1.3567100145471106E-2</v>
      </c>
      <c r="K55" s="53">
        <f t="shared" si="7"/>
        <v>1.3541162027583832E-2</v>
      </c>
      <c r="L55" s="54">
        <f t="shared" si="7"/>
        <v>1.5796006680780964E-2</v>
      </c>
      <c r="M55" s="54">
        <f t="shared" si="7"/>
        <v>1.6866633387219405E-2</v>
      </c>
      <c r="N55" s="54">
        <f t="shared" si="7"/>
        <v>8.5340480462440024E-3</v>
      </c>
      <c r="O55" s="54">
        <f t="shared" si="7"/>
        <v>1.0186509643564665E-3</v>
      </c>
    </row>
    <row r="56" spans="1:15" x14ac:dyDescent="0.25">
      <c r="A56" s="145"/>
      <c r="B56" s="15" t="s">
        <v>103</v>
      </c>
      <c r="C56" s="92">
        <f>C55/(1+C55)</f>
        <v>5.2811894644044302E-2</v>
      </c>
      <c r="D56" s="83">
        <f>D55/(1+D55)</f>
        <v>6.6301028674421281E-2</v>
      </c>
      <c r="E56" s="66"/>
      <c r="F56" s="66"/>
      <c r="G56" s="66"/>
      <c r="H56" s="66"/>
      <c r="I56" s="66"/>
      <c r="J56" s="66"/>
      <c r="K56" s="53"/>
      <c r="L56" s="54"/>
      <c r="M56" s="54"/>
      <c r="N56" s="54"/>
      <c r="O56" s="54"/>
    </row>
    <row r="57" spans="1:15" x14ac:dyDescent="0.25">
      <c r="A57" s="146"/>
      <c r="B57" s="42" t="s">
        <v>126</v>
      </c>
      <c r="C57" s="100">
        <f>0.0059261*C56*D42</f>
        <v>6508.6260538531606</v>
      </c>
      <c r="D57" s="101">
        <f>0.0059261*D56*D42</f>
        <v>8171.0494489193279</v>
      </c>
      <c r="E57" s="69"/>
      <c r="F57" s="69"/>
      <c r="G57" s="69"/>
      <c r="H57" s="69"/>
      <c r="I57" s="69"/>
      <c r="J57" s="69"/>
      <c r="K57" s="60"/>
      <c r="L57" s="61"/>
      <c r="M57" s="61"/>
      <c r="N57" s="61"/>
      <c r="O57" s="61"/>
    </row>
    <row r="58" spans="1:15" x14ac:dyDescent="0.25">
      <c r="A58" s="144" t="s">
        <v>63</v>
      </c>
      <c r="B58" s="17" t="s">
        <v>102</v>
      </c>
      <c r="C58" s="94"/>
      <c r="D58" s="90"/>
      <c r="E58" s="67">
        <f>IF(E43&gt;$I$35, EXP((LN(1.08)/10)*(E43-$I$35)),1)</f>
        <v>1</v>
      </c>
      <c r="F58" s="67">
        <f t="shared" ref="F58:O58" si="8">IF(F43&gt;$I$35, EXP((LN(1.08)/10)*(F43-$I$35)),1)</f>
        <v>1</v>
      </c>
      <c r="G58" s="67">
        <f t="shared" si="8"/>
        <v>1</v>
      </c>
      <c r="H58" s="67">
        <f t="shared" si="8"/>
        <v>1</v>
      </c>
      <c r="I58" s="67">
        <f t="shared" si="8"/>
        <v>1</v>
      </c>
      <c r="J58" s="67">
        <f t="shared" si="8"/>
        <v>1</v>
      </c>
      <c r="K58" s="56">
        <f t="shared" si="8"/>
        <v>1.0312631565524872</v>
      </c>
      <c r="L58" s="57">
        <f t="shared" si="8"/>
        <v>1.0717201098736591</v>
      </c>
      <c r="M58" s="57">
        <f t="shared" si="8"/>
        <v>1.1137642090766864</v>
      </c>
      <c r="N58" s="57">
        <f t="shared" si="8"/>
        <v>1.157457718663552</v>
      </c>
      <c r="O58" s="57">
        <f t="shared" si="8"/>
        <v>1.2028653458028213</v>
      </c>
    </row>
    <row r="59" spans="1:15" x14ac:dyDescent="0.25">
      <c r="A59" s="145"/>
      <c r="B59" s="15" t="s">
        <v>81</v>
      </c>
      <c r="C59" s="95">
        <f>SUM(K59:O59)</f>
        <v>3.8331542536053996E-2</v>
      </c>
      <c r="D59" s="92">
        <f>SUM(E59:O59)</f>
        <v>3.8331542536053996E-2</v>
      </c>
      <c r="E59" s="66">
        <f>E44*(E58-1)</f>
        <v>0</v>
      </c>
      <c r="F59" s="66">
        <f t="shared" ref="F59:O59" si="9">F44*(F58-1)</f>
        <v>0</v>
      </c>
      <c r="G59" s="66">
        <f t="shared" si="9"/>
        <v>0</v>
      </c>
      <c r="H59" s="66">
        <f t="shared" si="9"/>
        <v>0</v>
      </c>
      <c r="I59" s="66">
        <f t="shared" si="9"/>
        <v>0</v>
      </c>
      <c r="J59" s="66">
        <f t="shared" si="9"/>
        <v>0</v>
      </c>
      <c r="K59" s="53">
        <f t="shared" si="9"/>
        <v>5.6555463277831062E-3</v>
      </c>
      <c r="L59" s="54">
        <f t="shared" si="9"/>
        <v>1.0521564520921027E-2</v>
      </c>
      <c r="M59" s="54">
        <f t="shared" si="9"/>
        <v>1.3561058273543175E-2</v>
      </c>
      <c r="N59" s="54">
        <f t="shared" si="9"/>
        <v>7.6198423572209177E-3</v>
      </c>
      <c r="O59" s="54">
        <f t="shared" si="9"/>
        <v>9.7353105658576995E-4</v>
      </c>
    </row>
    <row r="60" spans="1:15" x14ac:dyDescent="0.25">
      <c r="A60" s="145"/>
      <c r="B60" s="15" t="s">
        <v>103</v>
      </c>
      <c r="C60" s="95">
        <f>C59/(1+C59)</f>
        <v>3.69164770266266E-2</v>
      </c>
      <c r="D60" s="92">
        <f>D59/(1+D59)</f>
        <v>3.69164770266266E-2</v>
      </c>
      <c r="E60" s="66"/>
      <c r="F60" s="66"/>
      <c r="G60" s="66"/>
      <c r="H60" s="66"/>
      <c r="I60" s="66"/>
      <c r="J60" s="66"/>
      <c r="K60" s="53"/>
      <c r="L60" s="54"/>
      <c r="M60" s="54"/>
      <c r="N60" s="54"/>
      <c r="O60" s="54"/>
    </row>
    <row r="61" spans="1:15" x14ac:dyDescent="0.25">
      <c r="A61" s="146"/>
      <c r="B61" s="42" t="s">
        <v>127</v>
      </c>
      <c r="C61" s="99">
        <f>0.00127695*C60*D42</f>
        <v>980.35357762371382</v>
      </c>
      <c r="D61" s="100">
        <f>0.00127695*D60*D42</f>
        <v>980.35357762371382</v>
      </c>
      <c r="E61" s="69"/>
      <c r="F61" s="69"/>
      <c r="G61" s="69"/>
      <c r="H61" s="69"/>
      <c r="I61" s="69"/>
      <c r="J61" s="69"/>
      <c r="K61" s="60"/>
      <c r="L61" s="61"/>
      <c r="M61" s="61"/>
      <c r="N61" s="61"/>
      <c r="O61" s="61"/>
    </row>
    <row r="62" spans="1:15" x14ac:dyDescent="0.25">
      <c r="A62" s="142" t="s">
        <v>44</v>
      </c>
      <c r="B62" s="27" t="s">
        <v>99</v>
      </c>
      <c r="C62" s="96"/>
      <c r="D62" s="85"/>
      <c r="E62" s="70">
        <f>IF(E43&gt;$I$30,((78.927 - 3.1162 * E43 + 0.0342 * E43^2)/100),0)</f>
        <v>0</v>
      </c>
      <c r="F62" s="70">
        <f t="shared" ref="F62:O62" si="10">IF(F43&gt;$I$30,((78.927 - 3.1162 * F43 + 0.0342 * F43^2)/100),0)</f>
        <v>0</v>
      </c>
      <c r="G62" s="70">
        <f t="shared" si="10"/>
        <v>0</v>
      </c>
      <c r="H62" s="70">
        <f t="shared" si="10"/>
        <v>0</v>
      </c>
      <c r="I62" s="70">
        <f t="shared" si="10"/>
        <v>8.0134000000000191E-2</v>
      </c>
      <c r="J62" s="70">
        <f t="shared" si="10"/>
        <v>9.3613999999999892E-2</v>
      </c>
      <c r="K62" s="62">
        <f t="shared" si="10"/>
        <v>0.1241940000000001</v>
      </c>
      <c r="L62" s="63">
        <f t="shared" si="10"/>
        <v>0.17187400000000011</v>
      </c>
      <c r="M62" s="63">
        <f t="shared" si="10"/>
        <v>0.23665399999999978</v>
      </c>
      <c r="N62" s="63">
        <f t="shared" si="10"/>
        <v>0.31853400000000021</v>
      </c>
      <c r="O62" s="63">
        <f t="shared" si="10"/>
        <v>0.41751400000000016</v>
      </c>
    </row>
    <row r="63" spans="1:15" x14ac:dyDescent="0.25">
      <c r="A63" s="143"/>
      <c r="B63" s="27" t="s">
        <v>139</v>
      </c>
      <c r="C63" s="96">
        <f>SUM(K63:O63)</f>
        <v>9.3309634085492005E-2</v>
      </c>
      <c r="D63" s="85">
        <f>SUM(E63:O63)</f>
        <v>0.13400005972406637</v>
      </c>
      <c r="E63" s="71">
        <f>E44*E62</f>
        <v>0</v>
      </c>
      <c r="F63" s="71">
        <f t="shared" ref="F63:O63" si="11">F44*F62</f>
        <v>0</v>
      </c>
      <c r="G63" s="71">
        <f t="shared" si="11"/>
        <v>0</v>
      </c>
      <c r="H63" s="71">
        <f t="shared" si="11"/>
        <v>0</v>
      </c>
      <c r="I63" s="71">
        <f t="shared" si="11"/>
        <v>1.1158608274391753E-2</v>
      </c>
      <c r="J63" s="71">
        <f t="shared" si="11"/>
        <v>2.9531817364182603E-2</v>
      </c>
      <c r="K63" s="53">
        <f t="shared" si="11"/>
        <v>2.2466858695265539E-2</v>
      </c>
      <c r="L63" s="54">
        <f t="shared" si="11"/>
        <v>2.5214453570336123E-2</v>
      </c>
      <c r="M63" s="54">
        <f t="shared" si="11"/>
        <v>2.8209915145665603E-2</v>
      </c>
      <c r="N63" s="54">
        <f t="shared" si="11"/>
        <v>1.5414797610533706E-2</v>
      </c>
      <c r="O63" s="54">
        <f t="shared" si="11"/>
        <v>2.0036090636910467E-3</v>
      </c>
    </row>
    <row r="64" spans="1:15" x14ac:dyDescent="0.25">
      <c r="A64" s="141"/>
      <c r="B64" s="44" t="s">
        <v>140</v>
      </c>
      <c r="C64" s="89">
        <f>C63*$J$30*D42</f>
        <v>21345.5705628</v>
      </c>
      <c r="D64" s="86">
        <f>J30*D63*D42</f>
        <v>30653.937916408569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x14ac:dyDescent="0.25">
      <c r="A65" s="21"/>
      <c r="B65" s="23"/>
      <c r="C65" s="23"/>
      <c r="D65" s="2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x14ac:dyDescent="0.25">
      <c r="A66" s="21"/>
      <c r="B66" s="23"/>
      <c r="C66" s="23"/>
      <c r="D66" s="23"/>
      <c r="E66" s="137" t="s">
        <v>85</v>
      </c>
      <c r="F66" s="137"/>
      <c r="G66" s="137"/>
      <c r="H66" s="137"/>
      <c r="I66" s="137"/>
      <c r="J66" s="138" t="s">
        <v>86</v>
      </c>
      <c r="K66" s="139"/>
      <c r="L66" s="139"/>
      <c r="M66" s="139"/>
      <c r="N66" s="139"/>
      <c r="O66" s="24"/>
    </row>
    <row r="67" spans="1:15" ht="30" x14ac:dyDescent="0.25">
      <c r="A67" s="21"/>
      <c r="B67" s="23"/>
      <c r="C67" s="23"/>
      <c r="D67" s="25" t="s">
        <v>80</v>
      </c>
      <c r="E67" s="64" t="s">
        <v>106</v>
      </c>
      <c r="F67" s="64" t="s">
        <v>105</v>
      </c>
      <c r="G67" s="64" t="s">
        <v>104</v>
      </c>
      <c r="H67" s="64" t="s">
        <v>107</v>
      </c>
      <c r="I67" s="64" t="s">
        <v>108</v>
      </c>
      <c r="J67" s="49" t="s">
        <v>115</v>
      </c>
      <c r="K67" s="50" t="s">
        <v>116</v>
      </c>
      <c r="L67" s="50" t="s">
        <v>117</v>
      </c>
      <c r="M67" s="50" t="s">
        <v>118</v>
      </c>
      <c r="N67" s="50" t="s">
        <v>119</v>
      </c>
      <c r="O67" s="15"/>
    </row>
    <row r="68" spans="1:15" x14ac:dyDescent="0.25">
      <c r="A68" s="144" t="s">
        <v>94</v>
      </c>
      <c r="B68" s="18" t="s">
        <v>78</v>
      </c>
      <c r="C68" s="18"/>
      <c r="D68" s="29">
        <f>SUM(E68:N68)</f>
        <v>15021000</v>
      </c>
      <c r="E68" s="72">
        <f>C14</f>
        <v>64582.789500000006</v>
      </c>
      <c r="F68" s="72">
        <f>D14</f>
        <v>239111.78849999997</v>
      </c>
      <c r="G68" s="72">
        <f>E14</f>
        <v>1126116.8595</v>
      </c>
      <c r="H68" s="72">
        <f>F14</f>
        <v>2838600.9855</v>
      </c>
      <c r="I68" s="72">
        <f>G14</f>
        <v>3242087.577</v>
      </c>
      <c r="J68" s="79">
        <f>Frontend!K15</f>
        <v>3383500</v>
      </c>
      <c r="K68" s="76">
        <f>Frontend!L15</f>
        <v>2682400</v>
      </c>
      <c r="L68" s="76">
        <f>Frontend!M15</f>
        <v>1283500</v>
      </c>
      <c r="M68" s="76">
        <f>Frontend!N15</f>
        <v>156200</v>
      </c>
      <c r="N68" s="76">
        <f>Frontend!O15</f>
        <v>4900</v>
      </c>
      <c r="O68" s="15"/>
    </row>
    <row r="69" spans="1:15" x14ac:dyDescent="0.25">
      <c r="A69" s="145"/>
      <c r="B69" s="15" t="s">
        <v>100</v>
      </c>
      <c r="C69" s="15"/>
      <c r="D69" s="15"/>
      <c r="E69" s="66">
        <v>27</v>
      </c>
      <c r="F69" s="66">
        <v>32</v>
      </c>
      <c r="G69" s="66">
        <v>37</v>
      </c>
      <c r="H69" s="66">
        <v>42</v>
      </c>
      <c r="I69" s="66">
        <v>47</v>
      </c>
      <c r="J69" s="53">
        <v>52</v>
      </c>
      <c r="K69" s="54">
        <v>57</v>
      </c>
      <c r="L69" s="54">
        <v>62</v>
      </c>
      <c r="M69" s="54">
        <v>67</v>
      </c>
      <c r="N69" s="55">
        <v>72</v>
      </c>
      <c r="O69" s="15"/>
    </row>
    <row r="70" spans="1:15" x14ac:dyDescent="0.25">
      <c r="A70" s="146"/>
      <c r="B70" s="19" t="s">
        <v>101</v>
      </c>
      <c r="C70" s="16"/>
      <c r="D70" s="26"/>
      <c r="E70" s="73">
        <f>E68/$D$68</f>
        <v>4.2995000000000004E-3</v>
      </c>
      <c r="F70" s="73">
        <f t="shared" ref="F70:N70" si="12">F68/$D$68</f>
        <v>1.5918499999999999E-2</v>
      </c>
      <c r="G70" s="73">
        <f t="shared" si="12"/>
        <v>7.4969499999999994E-2</v>
      </c>
      <c r="H70" s="73">
        <f t="shared" si="12"/>
        <v>0.18897549999999999</v>
      </c>
      <c r="I70" s="73">
        <f t="shared" si="12"/>
        <v>0.215837</v>
      </c>
      <c r="J70" s="80">
        <f t="shared" si="12"/>
        <v>0.2252513148259104</v>
      </c>
      <c r="K70" s="77">
        <f t="shared" si="12"/>
        <v>0.17857665934358566</v>
      </c>
      <c r="L70" s="77">
        <f t="shared" si="12"/>
        <v>8.5447040809533317E-2</v>
      </c>
      <c r="M70" s="77">
        <f t="shared" si="12"/>
        <v>1.0398775048265762E-2</v>
      </c>
      <c r="N70" s="77">
        <f t="shared" si="12"/>
        <v>3.2620997270487985E-4</v>
      </c>
      <c r="O70" s="15"/>
    </row>
    <row r="71" spans="1:15" x14ac:dyDescent="0.25">
      <c r="A71" s="31" t="s">
        <v>95</v>
      </c>
      <c r="B71" s="32"/>
      <c r="C71" s="87" t="s">
        <v>92</v>
      </c>
      <c r="D71" s="97" t="s">
        <v>93</v>
      </c>
      <c r="E71" s="74"/>
      <c r="F71" s="74"/>
      <c r="G71" s="74"/>
      <c r="H71" s="74"/>
      <c r="I71" s="74"/>
      <c r="J71" s="81"/>
      <c r="K71" s="78"/>
      <c r="L71" s="78"/>
      <c r="M71" s="78"/>
      <c r="N71" s="78"/>
      <c r="O71" s="15"/>
    </row>
    <row r="72" spans="1:15" s="27" customFormat="1" x14ac:dyDescent="0.25">
      <c r="A72" s="140" t="s">
        <v>51</v>
      </c>
      <c r="B72" s="27" t="s">
        <v>99</v>
      </c>
      <c r="C72" s="88"/>
      <c r="D72" s="98"/>
      <c r="E72" s="75">
        <f>IF(E69&gt;$I$31,((19.4312 - 0.9336 *  E69 + 0.0126 *  E69^2)/100),0)</f>
        <v>0</v>
      </c>
      <c r="F72" s="75">
        <f t="shared" ref="F72:N72" si="13">IF(F69&gt;$I$31,((19.4312 - 0.9336 *  F69 + 0.0126 *  F69^2)/100),0)</f>
        <v>0</v>
      </c>
      <c r="G72" s="75">
        <f t="shared" si="13"/>
        <v>0</v>
      </c>
      <c r="H72" s="75">
        <f t="shared" si="13"/>
        <v>2.4464000000000041E-2</v>
      </c>
      <c r="I72" s="75">
        <f t="shared" si="13"/>
        <v>3.3854000000000044E-2</v>
      </c>
      <c r="J72" s="58">
        <f t="shared" si="13"/>
        <v>4.9544000000000032E-2</v>
      </c>
      <c r="K72" s="59">
        <f t="shared" si="13"/>
        <v>7.1534000000000125E-2</v>
      </c>
      <c r="L72" s="59">
        <f t="shared" si="13"/>
        <v>9.9824000000000052E-2</v>
      </c>
      <c r="M72" s="59">
        <f t="shared" si="13"/>
        <v>0.13441399999999995</v>
      </c>
      <c r="N72" s="59">
        <f t="shared" si="13"/>
        <v>0.17530400000000002</v>
      </c>
    </row>
    <row r="73" spans="1:15" s="27" customFormat="1" x14ac:dyDescent="0.25">
      <c r="A73" s="140"/>
      <c r="B73" s="27" t="s">
        <v>139</v>
      </c>
      <c r="C73" s="88">
        <f>SUM(J73:N73)</f>
        <v>3.3918746155382498E-2</v>
      </c>
      <c r="D73" s="98">
        <f>SUM(E73:N73)</f>
        <v>4.5848788585382522E-2</v>
      </c>
      <c r="E73" s="75">
        <f>E72*E70</f>
        <v>0</v>
      </c>
      <c r="F73" s="75">
        <f t="shared" ref="F73:N73" si="14">F72*F70</f>
        <v>0</v>
      </c>
      <c r="G73" s="75">
        <f t="shared" si="14"/>
        <v>0</v>
      </c>
      <c r="H73" s="75">
        <f t="shared" si="14"/>
        <v>4.6230966320000072E-3</v>
      </c>
      <c r="I73" s="75">
        <f t="shared" si="14"/>
        <v>7.3069457980000094E-3</v>
      </c>
      <c r="J73" s="58">
        <f t="shared" si="14"/>
        <v>1.1159851141734912E-2</v>
      </c>
      <c r="K73" s="59">
        <f t="shared" si="14"/>
        <v>1.2774302749484078E-2</v>
      </c>
      <c r="L73" s="59">
        <f t="shared" si="14"/>
        <v>8.5296654017708584E-3</v>
      </c>
      <c r="M73" s="59">
        <f t="shared" si="14"/>
        <v>1.3977409493375935E-3</v>
      </c>
      <c r="N73" s="59">
        <f t="shared" si="14"/>
        <v>5.718591305505626E-5</v>
      </c>
    </row>
    <row r="74" spans="1:15" s="27" customFormat="1" x14ac:dyDescent="0.25">
      <c r="A74" s="141"/>
      <c r="B74" s="44" t="s">
        <v>141</v>
      </c>
      <c r="C74" s="89">
        <f>J31*C73*D68</f>
        <v>5094.9348600000048</v>
      </c>
      <c r="D74" s="86">
        <f>J31*D73*D68</f>
        <v>6886.9465334103088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9"/>
    </row>
    <row r="77" spans="1:15" ht="18" thickBot="1" x14ac:dyDescent="0.35">
      <c r="A77" s="20" t="s">
        <v>96</v>
      </c>
      <c r="B77" s="4" t="s">
        <v>151</v>
      </c>
    </row>
    <row r="78" spans="1:15" ht="15.75" thickTop="1" x14ac:dyDescent="0.25">
      <c r="C78" t="s">
        <v>92</v>
      </c>
      <c r="D78" t="s">
        <v>128</v>
      </c>
      <c r="E78" t="s">
        <v>98</v>
      </c>
      <c r="F78" s="4" t="s">
        <v>150</v>
      </c>
    </row>
    <row r="79" spans="1:15" x14ac:dyDescent="0.25">
      <c r="B79" s="33" t="s">
        <v>91</v>
      </c>
      <c r="C79" s="40">
        <f>C61+C64+C74</f>
        <v>27420.859000423719</v>
      </c>
      <c r="D79" s="40">
        <f>D49+D53+D57+D64+D74</f>
        <v>308626.30242553435</v>
      </c>
      <c r="E79" s="34">
        <f>D79-C79</f>
        <v>281205.44342511066</v>
      </c>
    </row>
    <row r="80" spans="1:15" x14ac:dyDescent="0.25">
      <c r="B80" s="33" t="s">
        <v>97</v>
      </c>
      <c r="C80" s="41">
        <f>C79*C86</f>
        <v>1919460130.0296605</v>
      </c>
      <c r="D80" s="41">
        <f>D79*C86</f>
        <v>21603841169.787403</v>
      </c>
      <c r="E80" s="35">
        <f>D80-C80</f>
        <v>19684381039.757744</v>
      </c>
    </row>
    <row r="82" spans="2:4" x14ac:dyDescent="0.25">
      <c r="B82" s="117" t="s">
        <v>144</v>
      </c>
      <c r="C82" s="40">
        <f>(C79/C87)*100000</f>
        <v>106.86035636315063</v>
      </c>
      <c r="D82" s="40">
        <f>(D79/C87)*100000</f>
        <v>1202.730981539436</v>
      </c>
    </row>
    <row r="83" spans="2:4" x14ac:dyDescent="0.25">
      <c r="B83" s="117" t="s">
        <v>146</v>
      </c>
      <c r="C83" s="118">
        <f>C80/C87</f>
        <v>74.802249454205437</v>
      </c>
      <c r="D83" s="118">
        <f>(D80/C87)</f>
        <v>841.91168707760517</v>
      </c>
    </row>
    <row r="85" spans="2:4" x14ac:dyDescent="0.25">
      <c r="B85" s="33" t="s">
        <v>129</v>
      </c>
    </row>
    <row r="86" spans="2:4" x14ac:dyDescent="0.25">
      <c r="B86" s="33" t="s">
        <v>147</v>
      </c>
      <c r="C86" s="118">
        <v>70000</v>
      </c>
    </row>
    <row r="87" spans="2:4" x14ac:dyDescent="0.25">
      <c r="B87" s="33" t="s">
        <v>145</v>
      </c>
      <c r="C87" s="8">
        <v>25660460</v>
      </c>
    </row>
    <row r="88" spans="2:4" x14ac:dyDescent="0.25">
      <c r="B88" s="33"/>
      <c r="C88" s="45"/>
      <c r="D88" s="45"/>
    </row>
  </sheetData>
  <mergeCells count="12">
    <mergeCell ref="E40:J40"/>
    <mergeCell ref="K40:O40"/>
    <mergeCell ref="E66:I66"/>
    <mergeCell ref="J66:N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0" t="s">
        <v>122</v>
      </c>
      <c r="B1" t="s">
        <v>121</v>
      </c>
      <c r="C1" t="s">
        <v>120</v>
      </c>
    </row>
    <row r="2" spans="1:3" x14ac:dyDescent="0.25">
      <c r="A2" s="36">
        <v>1</v>
      </c>
      <c r="B2" s="46" t="s">
        <v>101</v>
      </c>
      <c r="C2" s="38" t="s">
        <v>131</v>
      </c>
    </row>
    <row r="3" spans="1:3" ht="45" x14ac:dyDescent="0.25">
      <c r="A3" s="36">
        <v>2</v>
      </c>
      <c r="B3" s="47" t="s">
        <v>99</v>
      </c>
      <c r="C3" s="37" t="s">
        <v>132</v>
      </c>
    </row>
    <row r="4" spans="1:3" ht="45" x14ac:dyDescent="0.25">
      <c r="A4" s="36">
        <v>3</v>
      </c>
      <c r="B4" s="48" t="s">
        <v>133</v>
      </c>
      <c r="C4" s="37" t="s">
        <v>134</v>
      </c>
    </row>
    <row r="5" spans="1:3" x14ac:dyDescent="0.25">
      <c r="A5" s="36">
        <v>4</v>
      </c>
      <c r="B5" s="47" t="s">
        <v>123</v>
      </c>
      <c r="C5" t="s">
        <v>135</v>
      </c>
    </row>
    <row r="6" spans="1:3" x14ac:dyDescent="0.25">
      <c r="A6" s="39">
        <v>5</v>
      </c>
      <c r="B6" s="47" t="s">
        <v>124</v>
      </c>
      <c r="C6" t="s">
        <v>136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A36" sqref="A36:XFD36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Frontend DEMO DAGA</vt:lpstr>
      <vt:lpstr>Agglomeration road</vt:lpstr>
      <vt:lpstr>Fragen</vt:lpstr>
      <vt:lpstr>ERF HRA</vt:lpstr>
      <vt:lpstr>Agglomeration rail</vt:lpstr>
      <vt:lpstr>Agglomeration air</vt:lpstr>
      <vt:lpstr>Major roads </vt:lpstr>
      <vt:lpstr>Major railways </vt:lpstr>
      <vt:lpstr>Major airports</vt:lpstr>
      <vt:lpstr>5dB to 1dB refinement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2026-06-03T11:01:56Z</dcterms:modified>
</cp:coreProperties>
</file>