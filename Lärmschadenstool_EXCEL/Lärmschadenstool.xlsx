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okumente_lokal\LÄRM Projekte\Quantifizierung von Lärmschadenskosten\GitHub Repository\Hessen_END_Healthiar\Lärmschadenstool_EXCEL\"/>
    </mc:Choice>
  </mc:AlternateContent>
  <xr:revisionPtr revIDLastSave="0" documentId="13_ncr:1_{59A1B052-1B98-4ECA-BD22-E37BF79E7598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Hinweise" sheetId="12" r:id="rId1"/>
    <sheet name="Frontend" sheetId="8" r:id="rId2"/>
    <sheet name="Agglomeration road" sheetId="1" r:id="rId3"/>
    <sheet name="Fragen" sheetId="11" r:id="rId4"/>
    <sheet name="ERF HRA" sheetId="10" r:id="rId5"/>
    <sheet name="5dB to 1dB refinement" sheetId="9" r:id="rId6"/>
    <sheet name="Agglomeration rail" sheetId="2" r:id="rId7"/>
    <sheet name="Agglomeration air" sheetId="3" r:id="rId8"/>
    <sheet name="Agglomeration industry" sheetId="4" r:id="rId9"/>
    <sheet name="Major roads " sheetId="5" r:id="rId10"/>
    <sheet name="Major railways " sheetId="6" r:id="rId11"/>
    <sheet name="Major airports" sheetId="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3" i="1" l="1"/>
  <c r="C83" i="1"/>
  <c r="D82" i="1"/>
  <c r="C82" i="1"/>
  <c r="F62" i="1"/>
  <c r="G62" i="1"/>
  <c r="H62" i="1"/>
  <c r="I62" i="1"/>
  <c r="J62" i="1"/>
  <c r="K62" i="1"/>
  <c r="L62" i="1"/>
  <c r="M62" i="1"/>
  <c r="N62" i="1"/>
  <c r="O62" i="1"/>
  <c r="E62" i="1"/>
  <c r="F72" i="1"/>
  <c r="G72" i="1"/>
  <c r="H72" i="1"/>
  <c r="I72" i="1"/>
  <c r="J72" i="1"/>
  <c r="K72" i="1"/>
  <c r="L72" i="1"/>
  <c r="M72" i="1"/>
  <c r="N72" i="1"/>
  <c r="E72" i="1"/>
  <c r="K68" i="1"/>
  <c r="L68" i="1"/>
  <c r="M68" i="1"/>
  <c r="N68" i="1"/>
  <c r="J68" i="1"/>
  <c r="G68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C14" i="1"/>
  <c r="E68" i="1" s="1"/>
  <c r="O23" i="8"/>
  <c r="H23" i="8"/>
  <c r="O22" i="8"/>
  <c r="H22" i="8"/>
  <c r="O19" i="8"/>
  <c r="H19" i="8"/>
  <c r="O18" i="8"/>
  <c r="H18" i="8"/>
  <c r="O15" i="8"/>
  <c r="E14" i="1" s="1"/>
  <c r="H15" i="8"/>
  <c r="G13" i="1" s="1"/>
  <c r="I42" i="1" s="1"/>
  <c r="O14" i="8"/>
  <c r="H14" i="8"/>
  <c r="C13" i="1" l="1"/>
  <c r="E42" i="1" s="1"/>
  <c r="H13" i="1"/>
  <c r="J42" i="1" s="1"/>
  <c r="F13" i="1"/>
  <c r="H42" i="1" s="1"/>
  <c r="D13" i="1"/>
  <c r="F42" i="1" s="1"/>
  <c r="G14" i="1"/>
  <c r="I68" i="1" s="1"/>
  <c r="E13" i="1"/>
  <c r="G42" i="1" s="1"/>
  <c r="F14" i="1"/>
  <c r="H68" i="1" s="1"/>
  <c r="D14" i="1"/>
  <c r="F68" i="1" s="1"/>
  <c r="F13" i="2"/>
  <c r="G12" i="2"/>
  <c r="D68" i="1" l="1"/>
  <c r="E70" i="1" s="1"/>
  <c r="E73" i="1" s="1"/>
  <c r="D42" i="1"/>
  <c r="E44" i="1" s="1"/>
  <c r="E63" i="1" s="1"/>
  <c r="I13" i="1"/>
  <c r="C18" i="1" s="1"/>
  <c r="C35" i="8" s="1"/>
  <c r="I14" i="1"/>
  <c r="E13" i="2"/>
  <c r="B13" i="2" s="1"/>
  <c r="D13" i="2"/>
  <c r="C13" i="2"/>
  <c r="F12" i="2"/>
  <c r="D12" i="2" s="1"/>
  <c r="E12" i="2"/>
  <c r="H70" i="1" l="1"/>
  <c r="H73" i="1" s="1"/>
  <c r="D73" i="1" s="1"/>
  <c r="D74" i="1" s="1"/>
  <c r="J70" i="1"/>
  <c r="J73" i="1" s="1"/>
  <c r="M70" i="1"/>
  <c r="M73" i="1" s="1"/>
  <c r="K70" i="1"/>
  <c r="K73" i="1" s="1"/>
  <c r="L70" i="1"/>
  <c r="L73" i="1" s="1"/>
  <c r="N70" i="1"/>
  <c r="N73" i="1" s="1"/>
  <c r="F70" i="1"/>
  <c r="F73" i="1" s="1"/>
  <c r="G70" i="1"/>
  <c r="G73" i="1" s="1"/>
  <c r="I70" i="1"/>
  <c r="I73" i="1" s="1"/>
  <c r="E59" i="1"/>
  <c r="E51" i="1"/>
  <c r="E55" i="1"/>
  <c r="E47" i="1"/>
  <c r="N44" i="1"/>
  <c r="N63" i="1" s="1"/>
  <c r="L44" i="1"/>
  <c r="L63" i="1" s="1"/>
  <c r="K44" i="1"/>
  <c r="K63" i="1" s="1"/>
  <c r="I44" i="1"/>
  <c r="I63" i="1" s="1"/>
  <c r="O44" i="1"/>
  <c r="O63" i="1" s="1"/>
  <c r="M44" i="1"/>
  <c r="M63" i="1" s="1"/>
  <c r="H44" i="1"/>
  <c r="H63" i="1" s="1"/>
  <c r="F44" i="1"/>
  <c r="F63" i="1" s="1"/>
  <c r="G44" i="1"/>
  <c r="G63" i="1" s="1"/>
  <c r="J44" i="1"/>
  <c r="J63" i="1" s="1"/>
  <c r="C19" i="1"/>
  <c r="D35" i="8" s="1"/>
  <c r="D63" i="1" l="1"/>
  <c r="D64" i="1" s="1"/>
  <c r="C73" i="1"/>
  <c r="C74" i="1" s="1"/>
  <c r="C63" i="1"/>
  <c r="C64" i="1" s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52" i="1"/>
  <c r="D53" i="1" s="1"/>
  <c r="D79" i="1" l="1"/>
  <c r="C61" i="1"/>
  <c r="C79" i="1" s="1"/>
  <c r="C80" i="1" l="1"/>
  <c r="C39" i="8" s="1"/>
  <c r="C38" i="8"/>
  <c r="D80" i="1"/>
  <c r="D39" i="8" s="1"/>
  <c r="D38" i="8"/>
  <c r="E79" i="1"/>
  <c r="E80" i="1" l="1"/>
</calcChain>
</file>

<file path=xl/sharedStrings.xml><?xml version="1.0" encoding="utf-8"?>
<sst xmlns="http://schemas.openxmlformats.org/spreadsheetml/2006/main" count="250" uniqueCount="153">
  <si>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</si>
  <si>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</si>
  <si>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</si>
  <si>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</si>
  <si>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</si>
  <si>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</si>
  <si>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</si>
  <si>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</si>
  <si>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</si>
  <si>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</si>
  <si>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</si>
  <si>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</si>
  <si>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</si>
  <si>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</si>
  <si>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</si>
  <si>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</si>
  <si>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</si>
  <si>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</si>
  <si>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</si>
  <si>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</si>
  <si>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</si>
  <si>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</si>
  <si>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</si>
  <si>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</si>
  <si>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</si>
  <si>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</si>
  <si>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</si>
  <si>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</si>
  <si>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</si>
  <si>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</si>
  <si>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</si>
  <si>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</si>
  <si>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</si>
  <si>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</si>
  <si>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</si>
  <si>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</si>
  <si>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</si>
  <si>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</si>
  <si>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</si>
  <si>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</si>
  <si>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</si>
  <si>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</si>
  <si>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</si>
  <si>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</si>
  <si>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</si>
  <si>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</si>
  <si>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</si>
  <si>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</si>
  <si>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</si>
  <si>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</si>
  <si>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</si>
  <si>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</si>
  <si>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</si>
  <si>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</si>
  <si>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</si>
  <si>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</si>
  <si>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</si>
  <si>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</si>
  <si>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</si>
  <si>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</si>
  <si>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</si>
  <si>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</si>
  <si>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</si>
  <si>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</si>
  <si>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</si>
  <si>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</si>
  <si>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</si>
  <si>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</si>
  <si>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</si>
  <si>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</si>
  <si>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</si>
  <si>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</si>
  <si>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</si>
  <si>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</si>
  <si>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</si>
  <si>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</si>
  <si>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</si>
  <si>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</si>
  <si>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</si>
  <si>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</si>
  <si>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</si>
  <si>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</si>
  <si>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</si>
  <si>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</si>
  <si>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</si>
  <si>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</si>
  <si>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Anzahl belasteter Personen nach ULR (EN: END)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</si>
  <si>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</si>
  <si>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</si>
  <si>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</si>
  <si>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</si>
  <si>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</si>
  <si>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</si>
  <si>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</si>
  <si>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</si>
  <si>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</si>
  <si>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</si>
  <si>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</si>
  <si>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</si>
  <si>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</si>
  <si>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</si>
  <si>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</si>
  <si>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</si>
  <si>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</si>
  <si>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</si>
  <si>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</si>
  <si>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</si>
  <si>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</si>
  <si>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</si>
  <si>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</si>
  <si>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</si>
  <si>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</si>
  <si>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</si>
  <si>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</si>
  <si>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</si>
  <si>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</si>
  <si>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</si>
  <si>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</si>
  <si>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</si>
  <si>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</si>
  <si>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</si>
  <si>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</si>
  <si>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</si>
  <si>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</si>
  <si>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</si>
  <si>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</si>
  <si>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</si>
  <si>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</si>
  <si>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</si>
  <si>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</si>
  <si>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</si>
  <si>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1 DALY = 70.000 EUR</t>
  </si>
  <si>
    <t>HA/ HSD</t>
  </si>
  <si>
    <t>YYL/ YLD für  mortality, CVD, Diabetes, IHD nach 2019 GBD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</si>
  <si>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</si>
  <si>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</si>
  <si>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</si>
  <si>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</si>
  <si>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</si>
  <si>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</si>
  <si>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</si>
  <si>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</si>
  <si>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</si>
  <si>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</si>
  <si>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</si>
  <si>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</si>
  <si>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Sum exposed</t>
  </si>
  <si>
    <r>
      <t xml:space="preserve">YLL = </t>
    </r>
    <r>
      <rPr>
        <b/>
        <sz val="11"/>
        <color rgb="FFFF0000"/>
        <rFont val="Calibri"/>
        <family val="2"/>
        <scheme val="minor"/>
      </rPr>
      <t>YLLnat (= 0,2069215)</t>
    </r>
    <r>
      <rPr>
        <b/>
        <sz val="11"/>
        <color theme="1"/>
        <rFont val="Calibri"/>
        <family val="2"/>
        <scheme val="minor"/>
      </rPr>
      <t xml:space="preserve"> ∙ AFtot * Summe der Exponierten</t>
    </r>
  </si>
  <si>
    <t>Sum p[i]*ERF[Ni]</t>
  </si>
  <si>
    <t>YLD = DW * Sum p[i]*ERF[Ni] * Summe der Exponierten Lden</t>
  </si>
  <si>
    <t>YLD = DW * Sum p[i]*ERF[Ni] * Summe der Exponierten Lnight</t>
  </si>
  <si>
    <r>
      <t xml:space="preserve">DALY pro 100.000 (DALY * </t>
    </r>
    <r>
      <rPr>
        <sz val="11"/>
        <color rgb="FFFF0000"/>
        <rFont val="Calibri"/>
        <family val="2"/>
        <scheme val="minor"/>
      </rPr>
      <t xml:space="preserve">Exponierte Lden </t>
    </r>
    <r>
      <rPr>
        <sz val="11"/>
        <color theme="1"/>
        <rFont val="Calibri"/>
        <family val="2"/>
        <scheme val="minor"/>
      </rPr>
      <t>* 100k)</t>
    </r>
  </si>
  <si>
    <t>EURO pro 100.000 (EURO * Exponierte Lden * 100k)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</si>
</sst>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8" fillId="0" borderId="0" xfId="0" applyFont="1"/>
    <xf numFmtId="0" fontId="8" fillId="0" borderId="4" xfId="0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wrapText="1"/>
    </xf>
    <xf numFmtId="0" fontId="0" fillId="2" borderId="0" xfId="0" applyFill="1" applyBorder="1" applyAlignment="1">
      <alignment wrapText="1"/>
    </xf>
    <xf numFmtId="4" fontId="0" fillId="2" borderId="9" xfId="0" applyNumberFormat="1" applyFill="1" applyBorder="1"/>
    <xf numFmtId="4" fontId="0" fillId="2" borderId="5" xfId="0" applyNumberFormat="1" applyFill="1" applyBorder="1"/>
    <xf numFmtId="0" fontId="0" fillId="2" borderId="7" xfId="0" applyFill="1" applyBorder="1"/>
    <xf numFmtId="0" fontId="0" fillId="2" borderId="0" xfId="0" applyFill="1" applyBorder="1"/>
    <xf numFmtId="0" fontId="1" fillId="2" borderId="0" xfId="0" applyFont="1" applyFill="1" applyBorder="1"/>
    <xf numFmtId="0" fontId="0" fillId="2" borderId="9" xfId="0" applyFill="1" applyBorder="1"/>
    <xf numFmtId="0" fontId="0" fillId="2" borderId="5" xfId="0" applyFill="1" applyBorder="1"/>
    <xf numFmtId="0" fontId="8" fillId="2" borderId="7" xfId="0" applyFont="1" applyFill="1" applyBorder="1"/>
    <xf numFmtId="0" fontId="8" fillId="2" borderId="0" xfId="0" applyFont="1" applyFill="1" applyBorder="1"/>
    <xf numFmtId="0" fontId="0" fillId="2" borderId="8" xfId="0" applyFill="1" applyBorder="1"/>
    <xf numFmtId="0" fontId="0" fillId="2" borderId="4" xfId="0" applyFill="1" applyBorder="1"/>
    <xf numFmtId="0" fontId="0" fillId="2" borderId="9" xfId="0" applyNumberFormat="1" applyFill="1" applyBorder="1"/>
    <xf numFmtId="0" fontId="0" fillId="2" borderId="5" xfId="0" applyNumberFormat="1" applyFill="1" applyBorder="1"/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wrapText="1"/>
    </xf>
    <xf numFmtId="4" fontId="0" fillId="3" borderId="5" xfId="0" applyNumberFormat="1" applyFill="1" applyBorder="1"/>
    <xf numFmtId="0" fontId="0" fillId="3" borderId="0" xfId="0" applyFill="1" applyBorder="1"/>
    <xf numFmtId="0" fontId="0" fillId="3" borderId="5" xfId="0" applyFill="1" applyBorder="1"/>
    <xf numFmtId="0" fontId="8" fillId="3" borderId="0" xfId="0" applyFont="1" applyFill="1" applyBorder="1"/>
    <xf numFmtId="0" fontId="0" fillId="3" borderId="4" xfId="0" applyFill="1" applyBorder="1"/>
    <xf numFmtId="0" fontId="0" fillId="3" borderId="5" xfId="0" applyNumberFormat="1" applyFill="1" applyBorder="1"/>
    <xf numFmtId="0" fontId="0" fillId="3" borderId="0" xfId="0" applyFill="1"/>
    <xf numFmtId="166" fontId="0" fillId="3" borderId="5" xfId="0" applyNumberForma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8" fillId="3" borderId="0" xfId="0" applyFont="1" applyFill="1"/>
    <xf numFmtId="166" fontId="0" fillId="2" borderId="5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6" xfId="0" applyFill="1" applyBorder="1" applyAlignment="1">
      <alignment wrapText="1"/>
    </xf>
    <xf numFmtId="166" fontId="0" fillId="2" borderId="9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4" borderId="5" xfId="0" applyFill="1" applyBorder="1"/>
    <xf numFmtId="0" fontId="0" fillId="4" borderId="0" xfId="0" applyFill="1" applyBorder="1"/>
    <xf numFmtId="0" fontId="0" fillId="4" borderId="0" xfId="0" quotePrefix="1" applyFill="1" applyBorder="1"/>
    <xf numFmtId="0" fontId="0" fillId="4" borderId="0" xfId="0" applyFill="1"/>
    <xf numFmtId="4" fontId="9" fillId="4" borderId="4" xfId="0" applyNumberFormat="1" applyFont="1" applyFill="1" applyBorder="1"/>
    <xf numFmtId="0" fontId="0" fillId="5" borderId="6" xfId="0" applyFill="1" applyBorder="1"/>
    <xf numFmtId="0" fontId="8" fillId="5" borderId="0" xfId="0" applyFont="1" applyFill="1"/>
    <xf numFmtId="4" fontId="9" fillId="5" borderId="4" xfId="0" applyNumberFormat="1" applyFont="1" applyFill="1" applyBorder="1"/>
    <xf numFmtId="0" fontId="0" fillId="0" borderId="5" xfId="0" applyFill="1" applyBorder="1"/>
    <xf numFmtId="0" fontId="0" fillId="0" borderId="5" xfId="0" applyFill="1" applyBorder="1" applyAlignment="1">
      <alignment horizontal="left" vertical="top"/>
    </xf>
    <xf numFmtId="0" fontId="11" fillId="0" borderId="0" xfId="0" applyFont="1" applyFill="1" applyBorder="1"/>
    <xf numFmtId="0" fontId="0" fillId="5" borderId="5" xfId="0" applyFill="1" applyBorder="1"/>
    <xf numFmtId="0" fontId="0" fillId="5" borderId="5" xfId="0" applyFill="1" applyBorder="1" applyAlignment="1">
      <alignment horizontal="left" vertical="top"/>
    </xf>
    <xf numFmtId="0" fontId="0" fillId="5" borderId="0" xfId="0" applyFill="1" applyBorder="1"/>
    <xf numFmtId="0" fontId="0" fillId="5" borderId="0" xfId="0" applyFill="1"/>
    <xf numFmtId="0" fontId="0" fillId="4" borderId="6" xfId="0" applyFill="1" applyBorder="1"/>
    <xf numFmtId="0" fontId="8" fillId="4" borderId="0" xfId="0" applyFont="1" applyFill="1"/>
    <xf numFmtId="4" fontId="7" fillId="5" borderId="4" xfId="0" applyNumberFormat="1" applyFont="1" applyFill="1" applyBorder="1"/>
    <xf numFmtId="4" fontId="12" fillId="0" borderId="4" xfId="0" applyNumberFormat="1" applyFont="1" applyFill="1" applyBorder="1"/>
    <xf numFmtId="4" fontId="7" fillId="4" borderId="4" xfId="0" applyNumberFormat="1" applyFont="1" applyFill="1" applyBorder="1"/>
    <xf numFmtId="4" fontId="14" fillId="4" borderId="4" xfId="0" applyNumberFormat="1" applyFont="1" applyFill="1" applyBorder="1"/>
    <xf numFmtId="4" fontId="14" fillId="0" borderId="4" xfId="0" applyNumberFormat="1" applyFont="1" applyFill="1" applyBorder="1"/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O39"/>
  <sheetViews>
    <sheetView topLeftCell="A5" workbookViewId="0">
      <selection activeCell="C42" sqref="C42"/>
    </sheetView>
  </sheetViews>
  <sheetFormatPr baseColWidth="10" defaultRowHeight="15" x14ac:dyDescent="0.25"/>
  <cols>
    <col min="1" max="1" width="13" customWidth="1"/>
    <col min="2" max="2" width="33.7109375" bestFit="1" customWidth="1"/>
    <col min="3" max="3" width="16.7109375" bestFit="1" customWidth="1"/>
    <col min="4" max="4" width="19.28515625" bestFit="1" customWidth="1"/>
  </cols>
  <sheetData>
    <row r="1" spans="1:15" ht="23.25" x14ac:dyDescent="0.35">
      <c r="A1" s="9" t="s">
        <v>21</v>
      </c>
    </row>
    <row r="2" spans="1:15" ht="15" customHeight="1" x14ac:dyDescent="0.35">
      <c r="A2" s="9"/>
    </row>
    <row r="3" spans="1:15" ht="15" customHeight="1" x14ac:dyDescent="0.35">
      <c r="A3" s="9"/>
    </row>
    <row r="4" spans="1:15" ht="20.25" thickBot="1" x14ac:dyDescent="0.35">
      <c r="A4" s="10" t="s">
        <v>22</v>
      </c>
    </row>
    <row r="5" spans="1:15" ht="74.25" customHeight="1" thickTop="1" x14ac:dyDescent="0.25">
      <c r="A5" s="49" t="s">
        <v>25</v>
      </c>
      <c r="B5" s="49"/>
      <c r="C5" s="49"/>
      <c r="D5" s="49"/>
      <c r="E5" s="49"/>
      <c r="F5" s="49"/>
      <c r="G5" s="49"/>
    </row>
    <row r="8" spans="1:15" ht="20.25" thickBot="1" x14ac:dyDescent="0.35">
      <c r="A8" s="10" t="s">
        <v>23</v>
      </c>
    </row>
    <row r="9" spans="1:15" ht="15.75" thickTop="1" x14ac:dyDescent="0.25"/>
    <row r="10" spans="1:15" ht="18" thickBot="1" x14ac:dyDescent="0.35">
      <c r="A10" s="50" t="s">
        <v>86</v>
      </c>
      <c r="B10" s="50"/>
    </row>
    <row r="11" spans="1:15" ht="15.75" thickTop="1" x14ac:dyDescent="0.25"/>
    <row r="12" spans="1:15" x14ac:dyDescent="0.25">
      <c r="C12" s="51" t="s">
        <v>73</v>
      </c>
      <c r="D12" s="51"/>
      <c r="E12" s="51"/>
      <c r="F12" s="51"/>
      <c r="G12" s="51"/>
      <c r="H12" s="51"/>
      <c r="J12" s="51" t="s">
        <v>74</v>
      </c>
      <c r="K12" s="51"/>
      <c r="L12" s="51"/>
      <c r="M12" s="51"/>
      <c r="N12" s="51"/>
      <c r="O12" s="51"/>
    </row>
    <row r="13" spans="1:15" ht="30" x14ac:dyDescent="0.25">
      <c r="C13" s="1" t="s">
        <v>118</v>
      </c>
      <c r="D13" s="1" t="s">
        <v>119</v>
      </c>
      <c r="E13" s="1" t="s">
        <v>120</v>
      </c>
      <c r="F13" s="1" t="s">
        <v>121</v>
      </c>
      <c r="G13" s="1" t="s">
        <v>122</v>
      </c>
      <c r="H13" t="s">
        <v>76</v>
      </c>
      <c r="J13" s="1" t="s">
        <v>123</v>
      </c>
      <c r="K13" s="1" t="s">
        <v>124</v>
      </c>
      <c r="L13" s="1" t="s">
        <v>125</v>
      </c>
      <c r="M13" s="1" t="s">
        <v>126</v>
      </c>
      <c r="N13" s="1" t="s">
        <v>127</v>
      </c>
      <c r="O13" t="s">
        <v>76</v>
      </c>
    </row>
    <row r="14" spans="1:15" x14ac:dyDescent="0.25">
      <c r="A14" s="52" t="s">
        <v>49</v>
      </c>
      <c r="B14" t="s">
        <v>77</v>
      </c>
      <c r="C14" s="8">
        <v>3725500</v>
      </c>
      <c r="D14" s="8">
        <v>1643600</v>
      </c>
      <c r="E14" s="8">
        <v>998600</v>
      </c>
      <c r="F14" s="8">
        <v>481900</v>
      </c>
      <c r="G14" s="8">
        <v>33500</v>
      </c>
      <c r="H14" s="8">
        <f>SUM(C14:G14)</f>
        <v>6883100</v>
      </c>
      <c r="I14" s="8"/>
      <c r="J14" s="8">
        <v>2411700</v>
      </c>
      <c r="K14" s="8">
        <v>1244300</v>
      </c>
      <c r="L14" s="8">
        <v>574000</v>
      </c>
      <c r="M14" s="8">
        <v>54400</v>
      </c>
      <c r="N14" s="8">
        <v>2100</v>
      </c>
      <c r="O14" s="8">
        <f>SUM(J14:N14)</f>
        <v>4286500</v>
      </c>
    </row>
    <row r="15" spans="1:15" x14ac:dyDescent="0.25">
      <c r="A15" s="52"/>
      <c r="B15" t="s">
        <v>84</v>
      </c>
      <c r="C15" s="8">
        <v>3762100</v>
      </c>
      <c r="D15" s="8">
        <v>3050900</v>
      </c>
      <c r="E15" s="8">
        <v>2479000</v>
      </c>
      <c r="F15" s="8">
        <v>1006400</v>
      </c>
      <c r="G15" s="8">
        <v>99800</v>
      </c>
      <c r="H15" s="8">
        <f t="shared" ref="H15:H23" si="0">SUM(C15:G15)</f>
        <v>10398200</v>
      </c>
      <c r="I15" s="8"/>
      <c r="J15" s="8">
        <v>3383500</v>
      </c>
      <c r="K15" s="8">
        <v>2682400</v>
      </c>
      <c r="L15" s="8">
        <v>1283500</v>
      </c>
      <c r="M15" s="8">
        <v>156200</v>
      </c>
      <c r="N15" s="8">
        <v>4900</v>
      </c>
      <c r="O15" s="8">
        <f t="shared" ref="O15:O23" si="1">SUM(J15:N15)</f>
        <v>7510500</v>
      </c>
    </row>
    <row r="16" spans="1:15" x14ac:dyDescent="0.25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52" t="s">
        <v>78</v>
      </c>
      <c r="B18" t="s">
        <v>79</v>
      </c>
      <c r="C18" s="8">
        <v>716500</v>
      </c>
      <c r="D18" s="8">
        <v>340700</v>
      </c>
      <c r="E18" s="8">
        <v>141700</v>
      </c>
      <c r="F18" s="8">
        <v>36000</v>
      </c>
      <c r="G18" s="8">
        <v>4600</v>
      </c>
      <c r="H18" s="8">
        <f t="shared" si="0"/>
        <v>1239500</v>
      </c>
      <c r="I18" s="8"/>
      <c r="J18" s="8">
        <v>568900</v>
      </c>
      <c r="K18" s="8">
        <v>258600</v>
      </c>
      <c r="L18" s="8">
        <v>93100</v>
      </c>
      <c r="M18" s="8">
        <v>21100</v>
      </c>
      <c r="N18" s="8">
        <v>2200</v>
      </c>
      <c r="O18" s="8">
        <f t="shared" si="1"/>
        <v>943900</v>
      </c>
    </row>
    <row r="19" spans="1:15" x14ac:dyDescent="0.25">
      <c r="A19" s="52"/>
      <c r="B19" t="s">
        <v>80</v>
      </c>
      <c r="C19" s="8">
        <v>1289300</v>
      </c>
      <c r="D19" s="8">
        <v>787600</v>
      </c>
      <c r="E19" s="8">
        <v>383200</v>
      </c>
      <c r="F19" s="8">
        <v>74300</v>
      </c>
      <c r="G19" s="8">
        <v>13200</v>
      </c>
      <c r="H19" s="8">
        <f t="shared" si="0"/>
        <v>2547600</v>
      </c>
      <c r="I19" s="8"/>
      <c r="J19" s="8">
        <v>1058400</v>
      </c>
      <c r="K19" s="8">
        <v>609100</v>
      </c>
      <c r="L19" s="8">
        <v>175500</v>
      </c>
      <c r="M19" s="8">
        <v>32000</v>
      </c>
      <c r="N19" s="8">
        <v>7700</v>
      </c>
      <c r="O19" s="8">
        <f t="shared" si="1"/>
        <v>1882700</v>
      </c>
    </row>
    <row r="20" spans="1:15" x14ac:dyDescent="0.25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52" t="s">
        <v>81</v>
      </c>
      <c r="B22" t="s">
        <v>82</v>
      </c>
      <c r="C22" s="8">
        <v>303900</v>
      </c>
      <c r="D22" s="8">
        <v>69900</v>
      </c>
      <c r="E22" s="8">
        <v>3900</v>
      </c>
      <c r="F22" s="8">
        <v>0</v>
      </c>
      <c r="G22" s="8">
        <v>0</v>
      </c>
      <c r="H22" s="8">
        <f t="shared" si="0"/>
        <v>377700</v>
      </c>
      <c r="I22" s="8"/>
      <c r="J22" s="8">
        <v>123200</v>
      </c>
      <c r="K22" s="8">
        <v>17600</v>
      </c>
      <c r="L22" s="8">
        <v>400</v>
      </c>
      <c r="M22" s="8">
        <v>0</v>
      </c>
      <c r="N22" s="8">
        <v>0</v>
      </c>
      <c r="O22" s="8">
        <f t="shared" si="1"/>
        <v>141200</v>
      </c>
    </row>
    <row r="23" spans="1:15" x14ac:dyDescent="0.25">
      <c r="A23" s="52"/>
      <c r="B23" t="s">
        <v>83</v>
      </c>
      <c r="C23" s="8">
        <v>419800</v>
      </c>
      <c r="D23" s="8">
        <v>51900</v>
      </c>
      <c r="E23" s="8">
        <v>3000</v>
      </c>
      <c r="F23" s="8">
        <v>700</v>
      </c>
      <c r="G23" s="8">
        <v>0</v>
      </c>
      <c r="H23" s="8">
        <f t="shared" si="0"/>
        <v>475400</v>
      </c>
      <c r="I23" s="8"/>
      <c r="J23" s="8">
        <v>121500</v>
      </c>
      <c r="K23" s="8">
        <v>10900</v>
      </c>
      <c r="L23" s="8">
        <v>400</v>
      </c>
      <c r="M23" s="8">
        <v>0</v>
      </c>
      <c r="N23" s="8">
        <v>0</v>
      </c>
      <c r="O23" s="8">
        <f t="shared" si="1"/>
        <v>132800</v>
      </c>
    </row>
    <row r="30" spans="1:15" ht="20.25" thickBot="1" x14ac:dyDescent="0.35">
      <c r="A30" s="10" t="s">
        <v>26</v>
      </c>
    </row>
    <row r="31" spans="1:15" ht="15.75" thickTop="1" x14ac:dyDescent="0.25"/>
    <row r="32" spans="1:15" ht="18" thickBot="1" x14ac:dyDescent="0.35">
      <c r="A32" s="50" t="s">
        <v>139</v>
      </c>
      <c r="B32" s="50"/>
    </row>
    <row r="33" spans="2:4" ht="15.75" thickTop="1" x14ac:dyDescent="0.25"/>
    <row r="34" spans="2:4" x14ac:dyDescent="0.25">
      <c r="C34" t="s">
        <v>73</v>
      </c>
      <c r="D34" t="s">
        <v>74</v>
      </c>
    </row>
    <row r="35" spans="2:4" x14ac:dyDescent="0.25">
      <c r="B35" t="s">
        <v>27</v>
      </c>
      <c r="C35" s="8">
        <f>'Agglomeration road'!C18</f>
        <v>20796420.796399999</v>
      </c>
      <c r="D35" s="8">
        <f>'Agglomeration road'!C19</f>
        <v>15021000</v>
      </c>
    </row>
    <row r="36" spans="2:4" x14ac:dyDescent="0.25">
      <c r="C36" s="8"/>
      <c r="D36" s="8"/>
    </row>
    <row r="37" spans="2:4" x14ac:dyDescent="0.25">
      <c r="C37" t="s">
        <v>100</v>
      </c>
      <c r="D37" t="s">
        <v>137</v>
      </c>
    </row>
    <row r="38" spans="2:4" x14ac:dyDescent="0.25">
      <c r="B38" s="33" t="s">
        <v>99</v>
      </c>
      <c r="C38" s="34">
        <f>'Agglomeration road'!C79</f>
        <v>27420.859000423719</v>
      </c>
      <c r="D38" s="34">
        <f>'Agglomeration road'!D79</f>
        <v>308626.30242553435</v>
      </c>
    </row>
    <row r="39" spans="2:4" x14ac:dyDescent="0.25">
      <c r="B39" s="33" t="s">
        <v>105</v>
      </c>
      <c r="C39" s="45">
        <f>'Agglomeration road'!C80</f>
        <v>1919460130.0296605</v>
      </c>
      <c r="D39" s="45">
        <f>'Agglomeration road'!D80</f>
        <v>21603841169.787403</v>
      </c>
    </row>
  </sheetData>
  <mergeCells count="8">
    <mergeCell ref="A5:G5"/>
    <mergeCell ref="A32:B32"/>
    <mergeCell ref="A10:B10"/>
    <mergeCell ref="C12:H12"/>
    <mergeCell ref="J12:O12"/>
    <mergeCell ref="A14:A15"/>
    <mergeCell ref="A18:A19"/>
    <mergeCell ref="A22:A23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3"/>
  <sheetViews>
    <sheetView tabSelected="1" topLeftCell="A50" workbookViewId="0">
      <selection activeCell="A72" sqref="A72:A74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114</v>
      </c>
      <c r="D12" s="1" t="s">
        <v>113</v>
      </c>
      <c r="E12" s="1" t="s">
        <v>112</v>
      </c>
      <c r="F12" s="1" t="s">
        <v>115</v>
      </c>
      <c r="G12" s="1" t="s">
        <v>116</v>
      </c>
      <c r="H12" s="1" t="s">
        <v>117</v>
      </c>
      <c r="I12" s="1" t="s">
        <v>75</v>
      </c>
    </row>
    <row r="13" spans="1:9" x14ac:dyDescent="0.25">
      <c r="B13" s="1" t="s">
        <v>73</v>
      </c>
      <c r="C13" s="6">
        <f>Frontend!$H$15*C8</f>
        <v>14817.435000000001</v>
      </c>
      <c r="D13" s="6">
        <f>Frontend!$H$15*D8</f>
        <v>43360.493999999999</v>
      </c>
      <c r="E13" s="6">
        <f>Frontend!$H$15*E8</f>
        <v>175282.45740000001</v>
      </c>
      <c r="F13" s="6">
        <f>Frontend!$H$15*F8</f>
        <v>708356.57860000001</v>
      </c>
      <c r="G13" s="6">
        <f>Frontend!$H$15*G8</f>
        <v>2895888.3018</v>
      </c>
      <c r="H13" s="6">
        <f>Frontend!$H$15*H8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Frontend!$O$15*C9</f>
        <v>64582.789500000006</v>
      </c>
      <c r="D14" s="6">
        <f>Frontend!$O$15*D9</f>
        <v>239111.78849999997</v>
      </c>
      <c r="E14" s="6">
        <f>Frontend!$O$15*E9</f>
        <v>1126116.8595</v>
      </c>
      <c r="F14" s="6">
        <f>Frontend!$O$15*F9</f>
        <v>2838600.9855</v>
      </c>
      <c r="G14" s="6">
        <f>Frontend!$O$15*G9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Frontend!$H$15+I13</f>
        <v>20796420.796399999</v>
      </c>
    </row>
    <row r="19" spans="1:13" x14ac:dyDescent="0.25">
      <c r="B19" t="s">
        <v>74</v>
      </c>
      <c r="C19" s="8">
        <f>Frontend!$O$15+I14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87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95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27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96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27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27">
        <v>45</v>
      </c>
      <c r="K32">
        <v>0</v>
      </c>
      <c r="L32">
        <v>1</v>
      </c>
      <c r="M32" t="s">
        <v>61</v>
      </c>
    </row>
    <row r="33" spans="1:21" x14ac:dyDescent="0.25">
      <c r="B33" t="s">
        <v>97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98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90</v>
      </c>
    </row>
    <row r="39" spans="1:21" ht="15.75" thickTop="1" x14ac:dyDescent="0.25"/>
    <row r="40" spans="1:21" x14ac:dyDescent="0.25">
      <c r="C40" s="15"/>
      <c r="E40" s="73" t="s">
        <v>92</v>
      </c>
      <c r="F40" s="73"/>
      <c r="G40" s="73"/>
      <c r="H40" s="73"/>
      <c r="I40" s="73"/>
      <c r="J40" s="73"/>
      <c r="K40" s="56" t="s">
        <v>91</v>
      </c>
      <c r="L40" s="57"/>
      <c r="M40" s="57"/>
      <c r="N40" s="57"/>
      <c r="O40" s="57"/>
    </row>
    <row r="41" spans="1:21" ht="30" x14ac:dyDescent="0.25">
      <c r="D41" s="15" t="s">
        <v>146</v>
      </c>
      <c r="E41" s="74" t="s">
        <v>114</v>
      </c>
      <c r="F41" s="74" t="s">
        <v>113</v>
      </c>
      <c r="G41" s="74" t="s">
        <v>112</v>
      </c>
      <c r="H41" s="74" t="s">
        <v>115</v>
      </c>
      <c r="I41" s="74" t="s">
        <v>116</v>
      </c>
      <c r="J41" s="74" t="s">
        <v>117</v>
      </c>
      <c r="K41" s="58" t="s">
        <v>118</v>
      </c>
      <c r="L41" s="59" t="s">
        <v>119</v>
      </c>
      <c r="M41" s="59" t="s">
        <v>120</v>
      </c>
      <c r="N41" s="59" t="s">
        <v>121</v>
      </c>
      <c r="O41" s="59" t="s">
        <v>122</v>
      </c>
    </row>
    <row r="42" spans="1:21" x14ac:dyDescent="0.25">
      <c r="A42" s="53" t="s">
        <v>102</v>
      </c>
      <c r="B42" s="43" t="s">
        <v>85</v>
      </c>
      <c r="C42" s="18"/>
      <c r="D42" s="29">
        <f>SUM(E42:O42)</f>
        <v>20796420.796399999</v>
      </c>
      <c r="E42" s="75">
        <f t="shared" ref="E42:J42" si="0">C13</f>
        <v>14817.435000000001</v>
      </c>
      <c r="F42" s="75">
        <f t="shared" si="0"/>
        <v>43360.493999999999</v>
      </c>
      <c r="G42" s="75">
        <f t="shared" si="0"/>
        <v>175282.45740000001</v>
      </c>
      <c r="H42" s="75">
        <f t="shared" si="0"/>
        <v>708356.57860000001</v>
      </c>
      <c r="I42" s="75">
        <f t="shared" si="0"/>
        <v>2895888.3018</v>
      </c>
      <c r="J42" s="75">
        <f t="shared" si="0"/>
        <v>6560515.5296</v>
      </c>
      <c r="K42" s="60">
        <f>Frontend!C15</f>
        <v>3762100</v>
      </c>
      <c r="L42" s="61">
        <f>Frontend!D15</f>
        <v>3050900</v>
      </c>
      <c r="M42" s="61">
        <f>Frontend!E15</f>
        <v>2479000</v>
      </c>
      <c r="N42" s="61">
        <f>Frontend!F15</f>
        <v>1006400</v>
      </c>
      <c r="O42" s="61">
        <f>Frontend!G15</f>
        <v>99800</v>
      </c>
      <c r="Q42" s="8"/>
      <c r="R42" s="8"/>
      <c r="S42" s="8"/>
      <c r="T42" s="8"/>
      <c r="U42" s="8"/>
    </row>
    <row r="43" spans="1:21" x14ac:dyDescent="0.25">
      <c r="A43" s="54"/>
      <c r="B43" s="15" t="s">
        <v>108</v>
      </c>
      <c r="C43" s="15"/>
      <c r="D43" s="15"/>
      <c r="E43" s="76">
        <v>27</v>
      </c>
      <c r="F43" s="76">
        <v>32</v>
      </c>
      <c r="G43" s="76">
        <v>37</v>
      </c>
      <c r="H43" s="76">
        <v>42</v>
      </c>
      <c r="I43" s="76">
        <v>47</v>
      </c>
      <c r="J43" s="76">
        <v>52</v>
      </c>
      <c r="K43" s="62">
        <v>57</v>
      </c>
      <c r="L43" s="63">
        <v>62</v>
      </c>
      <c r="M43" s="63">
        <v>67</v>
      </c>
      <c r="N43" s="63">
        <v>72</v>
      </c>
      <c r="O43" s="64">
        <v>77</v>
      </c>
    </row>
    <row r="44" spans="1:21" x14ac:dyDescent="0.25">
      <c r="A44" s="55"/>
      <c r="B44" s="19" t="s">
        <v>109</v>
      </c>
      <c r="C44" s="15"/>
      <c r="D44" s="15"/>
      <c r="E44" s="76">
        <f t="shared" ref="E44:O44" si="1">E42/$D$42</f>
        <v>7.1249928750071259E-4</v>
      </c>
      <c r="F44" s="76">
        <f t="shared" si="1"/>
        <v>2.0849979150020848E-3</v>
      </c>
      <c r="G44" s="76">
        <f t="shared" si="1"/>
        <v>8.4284915715084289E-3</v>
      </c>
      <c r="H44" s="76">
        <f t="shared" si="1"/>
        <v>3.4061465938534062E-2</v>
      </c>
      <c r="I44" s="76">
        <f t="shared" si="1"/>
        <v>0.13924936075063926</v>
      </c>
      <c r="J44" s="76">
        <f t="shared" si="1"/>
        <v>0.31546368453631546</v>
      </c>
      <c r="K44" s="62">
        <f t="shared" si="1"/>
        <v>0.18090132128174888</v>
      </c>
      <c r="L44" s="63">
        <f t="shared" si="1"/>
        <v>0.14670312886379619</v>
      </c>
      <c r="M44" s="63">
        <f t="shared" si="1"/>
        <v>0.11920320444896612</v>
      </c>
      <c r="N44" s="63">
        <f t="shared" si="1"/>
        <v>4.8392942701669828E-2</v>
      </c>
      <c r="O44" s="63">
        <f t="shared" si="1"/>
        <v>4.7989027043190075E-3</v>
      </c>
    </row>
    <row r="45" spans="1:21" s="18" customFormat="1" x14ac:dyDescent="0.25">
      <c r="A45" s="22" t="s">
        <v>103</v>
      </c>
      <c r="C45" s="103" t="s">
        <v>100</v>
      </c>
      <c r="D45" s="92" t="s">
        <v>137</v>
      </c>
      <c r="E45" s="77"/>
      <c r="F45" s="77"/>
      <c r="G45" s="77"/>
      <c r="H45" s="77"/>
      <c r="I45" s="77"/>
      <c r="J45" s="77"/>
      <c r="K45" s="65"/>
      <c r="L45" s="66"/>
      <c r="M45" s="66"/>
      <c r="N45" s="66"/>
      <c r="O45" s="66"/>
    </row>
    <row r="46" spans="1:21" x14ac:dyDescent="0.25">
      <c r="A46" s="53" t="s">
        <v>57</v>
      </c>
      <c r="B46" s="17" t="s">
        <v>110</v>
      </c>
      <c r="C46" s="101"/>
      <c r="D46" s="92"/>
      <c r="E46" s="77">
        <f>IF(E43&gt;$I$32, EXP((LN(1.055)/10)*(E43-$I$32)),1)</f>
        <v>1</v>
      </c>
      <c r="F46" s="77">
        <f t="shared" ref="F46:O46" si="2">IF(F43&gt;$I$32, EXP((LN(1.055)/10)*(F43-$I$32)),1)</f>
        <v>1</v>
      </c>
      <c r="G46" s="77">
        <f t="shared" si="2"/>
        <v>1</v>
      </c>
      <c r="H46" s="77">
        <f t="shared" si="2"/>
        <v>1</v>
      </c>
      <c r="I46" s="77">
        <f t="shared" si="2"/>
        <v>1.0107656908500073</v>
      </c>
      <c r="J46" s="77">
        <f t="shared" si="2"/>
        <v>1.0381897140207395</v>
      </c>
      <c r="K46" s="65">
        <f t="shared" si="2"/>
        <v>1.0663578038467578</v>
      </c>
      <c r="L46" s="66">
        <f t="shared" si="2"/>
        <v>1.09529014829188</v>
      </c>
      <c r="M46" s="66">
        <f t="shared" si="2"/>
        <v>1.1250074830583294</v>
      </c>
      <c r="N46" s="66">
        <f t="shared" si="2"/>
        <v>1.1555311064479334</v>
      </c>
      <c r="O46" s="66">
        <f t="shared" si="2"/>
        <v>1.1868828946265373</v>
      </c>
    </row>
    <row r="47" spans="1:21" x14ac:dyDescent="0.25">
      <c r="A47" s="54"/>
      <c r="B47" s="15" t="s">
        <v>89</v>
      </c>
      <c r="C47" s="102">
        <f>SUM(K47:O47)</f>
        <v>4.9308310609276644E-2</v>
      </c>
      <c r="D47" s="93">
        <f>SUM(E47:O47)</f>
        <v>6.2854894074549819E-2</v>
      </c>
      <c r="E47" s="78">
        <f>E44*(E46-1)</f>
        <v>0</v>
      </c>
      <c r="F47" s="78">
        <f t="shared" ref="F47:O47" si="3">F44*(F46-1)</f>
        <v>0</v>
      </c>
      <c r="G47" s="78">
        <f>G44*(G46-1)</f>
        <v>0</v>
      </c>
      <c r="H47" s="78">
        <f t="shared" si="3"/>
        <v>0</v>
      </c>
      <c r="I47" s="78">
        <f t="shared" si="3"/>
        <v>1.4991155689025278E-3</v>
      </c>
      <c r="J47" s="78">
        <f t="shared" si="3"/>
        <v>1.2047467896370654E-2</v>
      </c>
      <c r="K47" s="67">
        <f t="shared" si="3"/>
        <v>1.2004214393233608E-2</v>
      </c>
      <c r="L47" s="68">
        <f t="shared" si="3"/>
        <v>1.3979362904313918E-2</v>
      </c>
      <c r="M47" s="68">
        <f t="shared" si="3"/>
        <v>1.4901292560652712E-2</v>
      </c>
      <c r="N47" s="68">
        <f t="shared" si="3"/>
        <v>7.5266079226621535E-3</v>
      </c>
      <c r="O47" s="68">
        <f t="shared" si="3"/>
        <v>8.9683282841425394E-4</v>
      </c>
    </row>
    <row r="48" spans="1:21" x14ac:dyDescent="0.25">
      <c r="A48" s="54"/>
      <c r="B48" s="15" t="s">
        <v>111</v>
      </c>
      <c r="C48" s="102">
        <f>(C47)/(1+C47)</f>
        <v>4.6991251389828383E-2</v>
      </c>
      <c r="D48" s="94">
        <f>(D47)/(1+D47)</f>
        <v>5.9137794279320602E-2</v>
      </c>
      <c r="E48" s="76"/>
      <c r="F48" s="76"/>
      <c r="G48" s="76"/>
      <c r="H48" s="76"/>
      <c r="I48" s="76"/>
      <c r="J48" s="76"/>
      <c r="K48" s="62"/>
      <c r="L48" s="63"/>
      <c r="M48" s="63"/>
      <c r="N48" s="63"/>
      <c r="O48" s="63"/>
    </row>
    <row r="49" spans="1:15" x14ac:dyDescent="0.25">
      <c r="A49" s="55"/>
      <c r="B49" s="42" t="s">
        <v>147</v>
      </c>
      <c r="C49" s="113">
        <f>0.2069215*C48*D42</f>
        <v>202214.00228176778</v>
      </c>
      <c r="D49" s="112">
        <f>0.2069215*D48*D42</f>
        <v>254483.32856966133</v>
      </c>
      <c r="E49" s="79"/>
      <c r="F49" s="79"/>
      <c r="G49" s="79"/>
      <c r="H49" s="79"/>
      <c r="I49" s="79"/>
      <c r="J49" s="79"/>
      <c r="K49" s="69"/>
      <c r="L49" s="70"/>
      <c r="M49" s="70"/>
      <c r="N49" s="70"/>
      <c r="O49" s="70"/>
    </row>
    <row r="50" spans="1:15" x14ac:dyDescent="0.25">
      <c r="A50" s="53" t="s">
        <v>62</v>
      </c>
      <c r="B50" s="17" t="s">
        <v>110</v>
      </c>
      <c r="C50" s="101"/>
      <c r="D50" s="92"/>
      <c r="E50" s="77">
        <f>IF(E43&gt;$I$33, EXP((LN(1.032)/10)*(E43-$I$33)),1)</f>
        <v>1</v>
      </c>
      <c r="F50" s="77">
        <f t="shared" ref="F50:O50" si="4">IF(F43&gt;$I$33, EXP((LN(1.032)/10)*(F43-$I$33)),1)</f>
        <v>1</v>
      </c>
      <c r="G50" s="77">
        <f t="shared" si="4"/>
        <v>1</v>
      </c>
      <c r="H50" s="77">
        <f t="shared" si="4"/>
        <v>1</v>
      </c>
      <c r="I50" s="77">
        <f t="shared" si="4"/>
        <v>1.0063196184673233</v>
      </c>
      <c r="J50" s="77">
        <f t="shared" si="4"/>
        <v>1.0222939440770498</v>
      </c>
      <c r="K50" s="65">
        <f t="shared" si="4"/>
        <v>1.0385218462582777</v>
      </c>
      <c r="L50" s="66">
        <f t="shared" si="4"/>
        <v>1.0550073502875155</v>
      </c>
      <c r="M50" s="66">
        <f t="shared" si="4"/>
        <v>1.0717545453385426</v>
      </c>
      <c r="N50" s="66">
        <f t="shared" si="4"/>
        <v>1.088767585496716</v>
      </c>
      <c r="O50" s="66">
        <f t="shared" si="4"/>
        <v>1.1060506907893759</v>
      </c>
    </row>
    <row r="51" spans="1:15" x14ac:dyDescent="0.25">
      <c r="A51" s="54"/>
      <c r="B51" s="15" t="s">
        <v>89</v>
      </c>
      <c r="C51" s="102">
        <f>SUM(K51:O51)</f>
        <v>2.8396426647685286E-2</v>
      </c>
      <c r="D51" s="93">
        <f>SUM(E51:O51)</f>
        <v>3.6309359220840685E-2</v>
      </c>
      <c r="E51" s="76">
        <f>E44*(E50-1)</f>
        <v>0</v>
      </c>
      <c r="F51" s="76">
        <f t="shared" ref="F51:O51" si="5">F44*(F50-1)</f>
        <v>0</v>
      </c>
      <c r="G51" s="76">
        <f t="shared" si="5"/>
        <v>0</v>
      </c>
      <c r="H51" s="76">
        <f t="shared" si="5"/>
        <v>0</v>
      </c>
      <c r="I51" s="76">
        <f t="shared" si="5"/>
        <v>8.8000283176270673E-4</v>
      </c>
      <c r="J51" s="76">
        <f t="shared" si="5"/>
        <v>7.0329297413926854E-3</v>
      </c>
      <c r="K51" s="62">
        <f t="shared" si="5"/>
        <v>6.9686528863348307E-3</v>
      </c>
      <c r="L51" s="63">
        <f t="shared" si="5"/>
        <v>8.0697503976853574E-3</v>
      </c>
      <c r="M51" s="63">
        <f t="shared" si="5"/>
        <v>8.5533717381329078E-3</v>
      </c>
      <c r="N51" s="63">
        <f t="shared" si="5"/>
        <v>4.2957246787081573E-3</v>
      </c>
      <c r="O51" s="63">
        <f t="shared" si="5"/>
        <v>5.0892694682403491E-4</v>
      </c>
    </row>
    <row r="52" spans="1:15" x14ac:dyDescent="0.25">
      <c r="A52" s="54"/>
      <c r="B52" s="15" t="s">
        <v>111</v>
      </c>
      <c r="C52" s="102">
        <f>C51/(1+C51)</f>
        <v>2.7612335002223338E-2</v>
      </c>
      <c r="D52" s="93">
        <f>D51/(1+D51)</f>
        <v>3.503718160775874E-2</v>
      </c>
      <c r="E52" s="76"/>
      <c r="F52" s="76"/>
      <c r="G52" s="76"/>
      <c r="H52" s="76"/>
      <c r="I52" s="76"/>
      <c r="J52" s="76"/>
      <c r="K52" s="62"/>
      <c r="L52" s="63"/>
      <c r="M52" s="63"/>
      <c r="N52" s="63"/>
      <c r="O52" s="63"/>
    </row>
    <row r="53" spans="1:15" x14ac:dyDescent="0.25">
      <c r="A53" s="55"/>
      <c r="B53" s="42" t="s">
        <v>134</v>
      </c>
      <c r="C53" s="110">
        <f>0.0115708*C52*D42</f>
        <v>6644.3900174318323</v>
      </c>
      <c r="D53" s="111">
        <f>0.0115708*D52*D42</f>
        <v>8431.0399571348571</v>
      </c>
      <c r="E53" s="79"/>
      <c r="F53" s="79"/>
      <c r="G53" s="79"/>
      <c r="H53" s="79"/>
      <c r="I53" s="79"/>
      <c r="J53" s="79"/>
      <c r="K53" s="69"/>
      <c r="L53" s="70"/>
      <c r="M53" s="70"/>
      <c r="N53" s="70"/>
      <c r="O53" s="70"/>
    </row>
    <row r="54" spans="1:15" x14ac:dyDescent="0.25">
      <c r="A54" s="53" t="s">
        <v>65</v>
      </c>
      <c r="B54" s="17" t="s">
        <v>110</v>
      </c>
      <c r="C54" s="101"/>
      <c r="D54" s="92"/>
      <c r="E54" s="77">
        <f>IF(E43&gt;$I$34, EXP((LN(1.062)/10)*(E43-$I$34)),1)</f>
        <v>1</v>
      </c>
      <c r="F54" s="77">
        <f t="shared" ref="F54:O54" si="6">IF(F43&gt;$I$34, EXP((LN(1.062)/10)*(F43-$I$34)),1)</f>
        <v>1</v>
      </c>
      <c r="G54" s="77">
        <f t="shared" si="6"/>
        <v>1</v>
      </c>
      <c r="H54" s="77">
        <f t="shared" si="6"/>
        <v>1</v>
      </c>
      <c r="I54" s="77">
        <f t="shared" si="6"/>
        <v>1.0121034455497457</v>
      </c>
      <c r="J54" s="77">
        <f t="shared" si="6"/>
        <v>1.043006852485771</v>
      </c>
      <c r="K54" s="65">
        <f t="shared" si="6"/>
        <v>1.0748538591738301</v>
      </c>
      <c r="L54" s="66">
        <f t="shared" si="6"/>
        <v>1.1076732773398887</v>
      </c>
      <c r="M54" s="66">
        <f t="shared" si="6"/>
        <v>1.1414947984426076</v>
      </c>
      <c r="N54" s="66">
        <f t="shared" si="6"/>
        <v>1.1763490205349618</v>
      </c>
      <c r="O54" s="66">
        <f t="shared" si="6"/>
        <v>1.2122674759460494</v>
      </c>
    </row>
    <row r="55" spans="1:15" x14ac:dyDescent="0.25">
      <c r="A55" s="54"/>
      <c r="B55" s="15" t="s">
        <v>89</v>
      </c>
      <c r="C55" s="102">
        <f>SUM(K55:O55)</f>
        <v>5.5756501106184665E-2</v>
      </c>
      <c r="D55" s="93">
        <f>SUM(E55:O55)</f>
        <v>7.1008998307338034E-2</v>
      </c>
      <c r="E55" s="76">
        <f>E44*(E54-1)</f>
        <v>0</v>
      </c>
      <c r="F55" s="76">
        <f t="shared" ref="F55:O55" si="7">F44*(F54-1)</f>
        <v>0</v>
      </c>
      <c r="G55" s="76">
        <f t="shared" si="7"/>
        <v>0</v>
      </c>
      <c r="H55" s="76">
        <f t="shared" si="7"/>
        <v>0</v>
      </c>
      <c r="I55" s="76">
        <f t="shared" si="7"/>
        <v>1.6853970556822639E-3</v>
      </c>
      <c r="J55" s="76">
        <f t="shared" si="7"/>
        <v>1.3567100145471106E-2</v>
      </c>
      <c r="K55" s="62">
        <f t="shared" si="7"/>
        <v>1.3541162027583832E-2</v>
      </c>
      <c r="L55" s="63">
        <f t="shared" si="7"/>
        <v>1.5796006680780964E-2</v>
      </c>
      <c r="M55" s="63">
        <f t="shared" si="7"/>
        <v>1.6866633387219405E-2</v>
      </c>
      <c r="N55" s="63">
        <f t="shared" si="7"/>
        <v>8.5340480462440024E-3</v>
      </c>
      <c r="O55" s="63">
        <f t="shared" si="7"/>
        <v>1.0186509643564665E-3</v>
      </c>
    </row>
    <row r="56" spans="1:15" x14ac:dyDescent="0.25">
      <c r="A56" s="54"/>
      <c r="B56" s="15" t="s">
        <v>111</v>
      </c>
      <c r="C56" s="102">
        <f>C55/(1+C55)</f>
        <v>5.2811894644044302E-2</v>
      </c>
      <c r="D56" s="93">
        <f>D55/(1+D55)</f>
        <v>6.6301028674421281E-2</v>
      </c>
      <c r="E56" s="76"/>
      <c r="F56" s="76"/>
      <c r="G56" s="76"/>
      <c r="H56" s="76"/>
      <c r="I56" s="76"/>
      <c r="J56" s="76"/>
      <c r="K56" s="62"/>
      <c r="L56" s="63"/>
      <c r="M56" s="63"/>
      <c r="N56" s="63"/>
      <c r="O56" s="63"/>
    </row>
    <row r="57" spans="1:15" x14ac:dyDescent="0.25">
      <c r="A57" s="55"/>
      <c r="B57" s="42" t="s">
        <v>135</v>
      </c>
      <c r="C57" s="110">
        <f>0.0059261*C56*D42</f>
        <v>6508.6260538531606</v>
      </c>
      <c r="D57" s="111">
        <f>0.0059261*D56*D42</f>
        <v>8171.0494489193279</v>
      </c>
      <c r="E57" s="79"/>
      <c r="F57" s="79"/>
      <c r="G57" s="79"/>
      <c r="H57" s="79"/>
      <c r="I57" s="79"/>
      <c r="J57" s="79"/>
      <c r="K57" s="69"/>
      <c r="L57" s="70"/>
      <c r="M57" s="70"/>
      <c r="N57" s="70"/>
      <c r="O57" s="70"/>
    </row>
    <row r="58" spans="1:15" x14ac:dyDescent="0.25">
      <c r="A58" s="53" t="s">
        <v>69</v>
      </c>
      <c r="B58" s="17" t="s">
        <v>110</v>
      </c>
      <c r="C58" s="104"/>
      <c r="D58" s="100"/>
      <c r="E58" s="77">
        <f>IF(E43&gt;$I$35, EXP((LN(1.08)/10)*(E43-$I$35)),1)</f>
        <v>1</v>
      </c>
      <c r="F58" s="77">
        <f t="shared" ref="F58:O58" si="8">IF(F43&gt;$I$35, EXP((LN(1.08)/10)*(F43-$I$35)),1)</f>
        <v>1</v>
      </c>
      <c r="G58" s="77">
        <f t="shared" si="8"/>
        <v>1</v>
      </c>
      <c r="H58" s="77">
        <f t="shared" si="8"/>
        <v>1</v>
      </c>
      <c r="I58" s="77">
        <f t="shared" si="8"/>
        <v>1</v>
      </c>
      <c r="J58" s="77">
        <f t="shared" si="8"/>
        <v>1</v>
      </c>
      <c r="K58" s="65">
        <f t="shared" si="8"/>
        <v>1.0312631565524872</v>
      </c>
      <c r="L58" s="66">
        <f t="shared" si="8"/>
        <v>1.0717201098736591</v>
      </c>
      <c r="M58" s="66">
        <f t="shared" si="8"/>
        <v>1.1137642090766864</v>
      </c>
      <c r="N58" s="66">
        <f t="shared" si="8"/>
        <v>1.157457718663552</v>
      </c>
      <c r="O58" s="66">
        <f t="shared" si="8"/>
        <v>1.2028653458028213</v>
      </c>
    </row>
    <row r="59" spans="1:15" x14ac:dyDescent="0.25">
      <c r="A59" s="54"/>
      <c r="B59" s="15" t="s">
        <v>89</v>
      </c>
      <c r="C59" s="105">
        <f>SUM(K59:O59)</f>
        <v>3.8331542536053996E-2</v>
      </c>
      <c r="D59" s="102">
        <f>SUM(E59:O59)</f>
        <v>3.8331542536053996E-2</v>
      </c>
      <c r="E59" s="76">
        <f>E44*(E58-1)</f>
        <v>0</v>
      </c>
      <c r="F59" s="76">
        <f t="shared" ref="F59:O59" si="9">F44*(F58-1)</f>
        <v>0</v>
      </c>
      <c r="G59" s="76">
        <f t="shared" si="9"/>
        <v>0</v>
      </c>
      <c r="H59" s="76">
        <f t="shared" si="9"/>
        <v>0</v>
      </c>
      <c r="I59" s="76">
        <f t="shared" si="9"/>
        <v>0</v>
      </c>
      <c r="J59" s="76">
        <f t="shared" si="9"/>
        <v>0</v>
      </c>
      <c r="K59" s="62">
        <f t="shared" si="9"/>
        <v>5.6555463277831062E-3</v>
      </c>
      <c r="L59" s="63">
        <f t="shared" si="9"/>
        <v>1.0521564520921027E-2</v>
      </c>
      <c r="M59" s="63">
        <f t="shared" si="9"/>
        <v>1.3561058273543175E-2</v>
      </c>
      <c r="N59" s="63">
        <f t="shared" si="9"/>
        <v>7.6198423572209177E-3</v>
      </c>
      <c r="O59" s="63">
        <f t="shared" si="9"/>
        <v>9.7353105658576995E-4</v>
      </c>
    </row>
    <row r="60" spans="1:15" x14ac:dyDescent="0.25">
      <c r="A60" s="54"/>
      <c r="B60" s="15" t="s">
        <v>111</v>
      </c>
      <c r="C60" s="105">
        <f>C59/(1+C59)</f>
        <v>3.69164770266266E-2</v>
      </c>
      <c r="D60" s="102">
        <f>D59/(1+D59)</f>
        <v>3.69164770266266E-2</v>
      </c>
      <c r="E60" s="76"/>
      <c r="F60" s="76"/>
      <c r="G60" s="76"/>
      <c r="H60" s="76"/>
      <c r="I60" s="76"/>
      <c r="J60" s="76"/>
      <c r="K60" s="62"/>
      <c r="L60" s="63"/>
      <c r="M60" s="63"/>
      <c r="N60" s="63"/>
      <c r="O60" s="63"/>
    </row>
    <row r="61" spans="1:15" x14ac:dyDescent="0.25">
      <c r="A61" s="55"/>
      <c r="B61" s="42" t="s">
        <v>136</v>
      </c>
      <c r="C61" s="109">
        <f>0.00127695*C60*D42</f>
        <v>980.35357762371382</v>
      </c>
      <c r="D61" s="110">
        <f>0.00127695*D60*D42</f>
        <v>980.35357762371382</v>
      </c>
      <c r="E61" s="79"/>
      <c r="F61" s="79"/>
      <c r="G61" s="79"/>
      <c r="H61" s="79"/>
      <c r="I61" s="79"/>
      <c r="J61" s="79"/>
      <c r="K61" s="69"/>
      <c r="L61" s="70"/>
      <c r="M61" s="70"/>
      <c r="N61" s="70"/>
      <c r="O61" s="70"/>
    </row>
    <row r="62" spans="1:15" x14ac:dyDescent="0.25">
      <c r="A62" s="114" t="s">
        <v>45</v>
      </c>
      <c r="B62" s="27" t="s">
        <v>107</v>
      </c>
      <c r="C62" s="106"/>
      <c r="D62" s="95"/>
      <c r="E62" s="80">
        <f>IF(E43&gt;$I$30,((78.927 - 3.1162 * E43 + 0.0342 * E43^2)/100),0)</f>
        <v>0</v>
      </c>
      <c r="F62" s="80">
        <f t="shared" ref="F62:O62" si="10">IF(F43&gt;$I$30,((78.927 - 3.1162 * F43 + 0.0342 * F43^2)/100),0)</f>
        <v>0</v>
      </c>
      <c r="G62" s="80">
        <f t="shared" si="10"/>
        <v>0</v>
      </c>
      <c r="H62" s="80">
        <f t="shared" si="10"/>
        <v>0</v>
      </c>
      <c r="I62" s="80">
        <f t="shared" si="10"/>
        <v>8.0134000000000191E-2</v>
      </c>
      <c r="J62" s="80">
        <f t="shared" si="10"/>
        <v>9.3613999999999892E-2</v>
      </c>
      <c r="K62" s="71">
        <f t="shared" si="10"/>
        <v>0.1241940000000001</v>
      </c>
      <c r="L62" s="72">
        <f t="shared" si="10"/>
        <v>0.17187400000000011</v>
      </c>
      <c r="M62" s="72">
        <f t="shared" si="10"/>
        <v>0.23665399999999978</v>
      </c>
      <c r="N62" s="72">
        <f t="shared" si="10"/>
        <v>0.31853400000000021</v>
      </c>
      <c r="O62" s="72">
        <f t="shared" si="10"/>
        <v>0.41751400000000016</v>
      </c>
    </row>
    <row r="63" spans="1:15" x14ac:dyDescent="0.25">
      <c r="A63" s="115"/>
      <c r="B63" s="27" t="s">
        <v>148</v>
      </c>
      <c r="C63" s="106">
        <f>SUM(K63:O63)</f>
        <v>9.3309634085492005E-2</v>
      </c>
      <c r="D63" s="95">
        <f>SUM(E63:O63)</f>
        <v>0.13400005972406637</v>
      </c>
      <c r="E63" s="81">
        <f>E44*E62</f>
        <v>0</v>
      </c>
      <c r="F63" s="81">
        <f t="shared" ref="F63:O63" si="11">F44*F62</f>
        <v>0</v>
      </c>
      <c r="G63" s="81">
        <f t="shared" si="11"/>
        <v>0</v>
      </c>
      <c r="H63" s="81">
        <f t="shared" si="11"/>
        <v>0</v>
      </c>
      <c r="I63" s="81">
        <f t="shared" si="11"/>
        <v>1.1158608274391753E-2</v>
      </c>
      <c r="J63" s="81">
        <f t="shared" si="11"/>
        <v>2.9531817364182603E-2</v>
      </c>
      <c r="K63" s="62">
        <f t="shared" si="11"/>
        <v>2.2466858695265539E-2</v>
      </c>
      <c r="L63" s="63">
        <f t="shared" si="11"/>
        <v>2.5214453570336123E-2</v>
      </c>
      <c r="M63" s="63">
        <f t="shared" si="11"/>
        <v>2.8209915145665603E-2</v>
      </c>
      <c r="N63" s="63">
        <f t="shared" si="11"/>
        <v>1.5414797610533706E-2</v>
      </c>
      <c r="O63" s="63">
        <f t="shared" si="11"/>
        <v>2.0036090636910467E-3</v>
      </c>
    </row>
    <row r="64" spans="1:15" x14ac:dyDescent="0.25">
      <c r="A64" s="116"/>
      <c r="B64" s="44" t="s">
        <v>149</v>
      </c>
      <c r="C64" s="99">
        <f>C63*$J$30*D42</f>
        <v>21345.5705628</v>
      </c>
      <c r="D64" s="96">
        <f>J30*D63*D42</f>
        <v>30653.937916408569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x14ac:dyDescent="0.25">
      <c r="A65" s="21"/>
      <c r="B65" s="23"/>
      <c r="C65" s="23"/>
      <c r="D65" s="2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1:15" x14ac:dyDescent="0.25">
      <c r="A66" s="21"/>
      <c r="B66" s="23"/>
      <c r="C66" s="23"/>
      <c r="D66" s="23"/>
      <c r="E66" s="73" t="s">
        <v>93</v>
      </c>
      <c r="F66" s="73"/>
      <c r="G66" s="73"/>
      <c r="H66" s="73"/>
      <c r="I66" s="73"/>
      <c r="J66" s="56" t="s">
        <v>94</v>
      </c>
      <c r="K66" s="57"/>
      <c r="L66" s="57"/>
      <c r="M66" s="57"/>
      <c r="N66" s="57"/>
      <c r="O66" s="24"/>
    </row>
    <row r="67" spans="1:15" ht="30" x14ac:dyDescent="0.25">
      <c r="A67" s="21"/>
      <c r="B67" s="23"/>
      <c r="C67" s="23"/>
      <c r="D67" s="25" t="s">
        <v>88</v>
      </c>
      <c r="E67" s="74" t="s">
        <v>114</v>
      </c>
      <c r="F67" s="74" t="s">
        <v>113</v>
      </c>
      <c r="G67" s="74" t="s">
        <v>112</v>
      </c>
      <c r="H67" s="74" t="s">
        <v>115</v>
      </c>
      <c r="I67" s="74" t="s">
        <v>116</v>
      </c>
      <c r="J67" s="58" t="s">
        <v>123</v>
      </c>
      <c r="K67" s="59" t="s">
        <v>124</v>
      </c>
      <c r="L67" s="59" t="s">
        <v>125</v>
      </c>
      <c r="M67" s="59" t="s">
        <v>126</v>
      </c>
      <c r="N67" s="59" t="s">
        <v>127</v>
      </c>
      <c r="O67" s="15"/>
    </row>
    <row r="68" spans="1:15" x14ac:dyDescent="0.25">
      <c r="A68" s="53" t="s">
        <v>102</v>
      </c>
      <c r="B68" s="18" t="s">
        <v>85</v>
      </c>
      <c r="C68" s="18"/>
      <c r="D68" s="29">
        <f>SUM(E68:N68)</f>
        <v>15021000</v>
      </c>
      <c r="E68" s="82">
        <f>C14</f>
        <v>64582.789500000006</v>
      </c>
      <c r="F68" s="82">
        <f>D14</f>
        <v>239111.78849999997</v>
      </c>
      <c r="G68" s="82">
        <f>E14</f>
        <v>1126116.8595</v>
      </c>
      <c r="H68" s="82">
        <f>F14</f>
        <v>2838600.9855</v>
      </c>
      <c r="I68" s="82">
        <f>G14</f>
        <v>3242087.577</v>
      </c>
      <c r="J68" s="89">
        <f>Frontend!J15</f>
        <v>3383500</v>
      </c>
      <c r="K68" s="86">
        <f>Frontend!K15</f>
        <v>2682400</v>
      </c>
      <c r="L68" s="86">
        <f>Frontend!L15</f>
        <v>1283500</v>
      </c>
      <c r="M68" s="86">
        <f>Frontend!M15</f>
        <v>156200</v>
      </c>
      <c r="N68" s="86">
        <f>Frontend!N15</f>
        <v>4900</v>
      </c>
      <c r="O68" s="15"/>
    </row>
    <row r="69" spans="1:15" x14ac:dyDescent="0.25">
      <c r="A69" s="54"/>
      <c r="B69" s="15" t="s">
        <v>108</v>
      </c>
      <c r="C69" s="15"/>
      <c r="D69" s="15"/>
      <c r="E69" s="76">
        <v>27</v>
      </c>
      <c r="F69" s="76">
        <v>32</v>
      </c>
      <c r="G69" s="76">
        <v>37</v>
      </c>
      <c r="H69" s="76">
        <v>42</v>
      </c>
      <c r="I69" s="76">
        <v>47</v>
      </c>
      <c r="J69" s="62">
        <v>52</v>
      </c>
      <c r="K69" s="63">
        <v>57</v>
      </c>
      <c r="L69" s="63">
        <v>62</v>
      </c>
      <c r="M69" s="63">
        <v>67</v>
      </c>
      <c r="N69" s="64">
        <v>72</v>
      </c>
      <c r="O69" s="15"/>
    </row>
    <row r="70" spans="1:15" x14ac:dyDescent="0.25">
      <c r="A70" s="55"/>
      <c r="B70" s="19" t="s">
        <v>109</v>
      </c>
      <c r="C70" s="16"/>
      <c r="D70" s="26"/>
      <c r="E70" s="83">
        <f>E68/$D$68</f>
        <v>4.2995000000000004E-3</v>
      </c>
      <c r="F70" s="83">
        <f t="shared" ref="F70:N70" si="12">F68/$D$68</f>
        <v>1.5918499999999999E-2</v>
      </c>
      <c r="G70" s="83">
        <f t="shared" si="12"/>
        <v>7.4969499999999994E-2</v>
      </c>
      <c r="H70" s="83">
        <f t="shared" si="12"/>
        <v>0.18897549999999999</v>
      </c>
      <c r="I70" s="83">
        <f t="shared" si="12"/>
        <v>0.215837</v>
      </c>
      <c r="J70" s="90">
        <f t="shared" si="12"/>
        <v>0.2252513148259104</v>
      </c>
      <c r="K70" s="87">
        <f t="shared" si="12"/>
        <v>0.17857665934358566</v>
      </c>
      <c r="L70" s="87">
        <f t="shared" si="12"/>
        <v>8.5447040809533317E-2</v>
      </c>
      <c r="M70" s="87">
        <f t="shared" si="12"/>
        <v>1.0398775048265762E-2</v>
      </c>
      <c r="N70" s="87">
        <f t="shared" si="12"/>
        <v>3.2620997270487985E-4</v>
      </c>
      <c r="O70" s="15"/>
    </row>
    <row r="71" spans="1:15" x14ac:dyDescent="0.25">
      <c r="A71" s="31" t="s">
        <v>103</v>
      </c>
      <c r="B71" s="32"/>
      <c r="C71" s="97" t="s">
        <v>100</v>
      </c>
      <c r="D71" s="107" t="s">
        <v>101</v>
      </c>
      <c r="E71" s="84"/>
      <c r="F71" s="84"/>
      <c r="G71" s="84"/>
      <c r="H71" s="84"/>
      <c r="I71" s="84"/>
      <c r="J71" s="91"/>
      <c r="K71" s="88"/>
      <c r="L71" s="88"/>
      <c r="M71" s="88"/>
      <c r="N71" s="88"/>
      <c r="O71" s="15"/>
    </row>
    <row r="72" spans="1:15" s="27" customFormat="1" x14ac:dyDescent="0.25">
      <c r="A72" s="117" t="s">
        <v>53</v>
      </c>
      <c r="B72" s="27" t="s">
        <v>107</v>
      </c>
      <c r="C72" s="98"/>
      <c r="D72" s="108"/>
      <c r="E72" s="85">
        <f>IF(E69&gt;$I$31,((19.4312 - 0.9336 *  E69 + 0.0126 *  E69^2)/100),0)</f>
        <v>0</v>
      </c>
      <c r="F72" s="85">
        <f t="shared" ref="F72:N72" si="13">IF(F69&gt;$I$31,((19.4312 - 0.9336 *  F69 + 0.0126 *  F69^2)/100),0)</f>
        <v>0</v>
      </c>
      <c r="G72" s="85">
        <f t="shared" si="13"/>
        <v>0</v>
      </c>
      <c r="H72" s="85">
        <f t="shared" si="13"/>
        <v>2.4464000000000041E-2</v>
      </c>
      <c r="I72" s="85">
        <f t="shared" si="13"/>
        <v>3.3854000000000044E-2</v>
      </c>
      <c r="J72" s="67">
        <f t="shared" si="13"/>
        <v>4.9544000000000032E-2</v>
      </c>
      <c r="K72" s="68">
        <f t="shared" si="13"/>
        <v>7.1534000000000125E-2</v>
      </c>
      <c r="L72" s="68">
        <f t="shared" si="13"/>
        <v>9.9824000000000052E-2</v>
      </c>
      <c r="M72" s="68">
        <f t="shared" si="13"/>
        <v>0.13441399999999995</v>
      </c>
      <c r="N72" s="68">
        <f t="shared" si="13"/>
        <v>0.17530400000000002</v>
      </c>
    </row>
    <row r="73" spans="1:15" s="27" customFormat="1" x14ac:dyDescent="0.25">
      <c r="A73" s="117"/>
      <c r="B73" s="27" t="s">
        <v>148</v>
      </c>
      <c r="C73" s="98">
        <f>SUM(J73:N73)</f>
        <v>3.3918746155382498E-2</v>
      </c>
      <c r="D73" s="108">
        <f>SUM(E73:N73)</f>
        <v>4.5848788585382522E-2</v>
      </c>
      <c r="E73" s="85">
        <f>E72*E70</f>
        <v>0</v>
      </c>
      <c r="F73" s="85">
        <f t="shared" ref="F73:N73" si="14">F72*F70</f>
        <v>0</v>
      </c>
      <c r="G73" s="85">
        <f t="shared" si="14"/>
        <v>0</v>
      </c>
      <c r="H73" s="85">
        <f t="shared" si="14"/>
        <v>4.6230966320000072E-3</v>
      </c>
      <c r="I73" s="85">
        <f t="shared" si="14"/>
        <v>7.3069457980000094E-3</v>
      </c>
      <c r="J73" s="67">
        <f t="shared" si="14"/>
        <v>1.1159851141734912E-2</v>
      </c>
      <c r="K73" s="68">
        <f t="shared" si="14"/>
        <v>1.2774302749484078E-2</v>
      </c>
      <c r="L73" s="68">
        <f t="shared" si="14"/>
        <v>8.5296654017708584E-3</v>
      </c>
      <c r="M73" s="68">
        <f t="shared" si="14"/>
        <v>1.3977409493375935E-3</v>
      </c>
      <c r="N73" s="68">
        <f t="shared" si="14"/>
        <v>5.718591305505626E-5</v>
      </c>
    </row>
    <row r="74" spans="1:15" s="27" customFormat="1" x14ac:dyDescent="0.25">
      <c r="A74" s="116"/>
      <c r="B74" s="44" t="s">
        <v>150</v>
      </c>
      <c r="C74" s="99">
        <f>J31*C73*D68</f>
        <v>5094.9348600000048</v>
      </c>
      <c r="D74" s="96">
        <f>J31*D73*D68</f>
        <v>6886.9465334103088</v>
      </c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19"/>
    </row>
    <row r="77" spans="1:15" ht="18" thickBot="1" x14ac:dyDescent="0.35">
      <c r="A77" s="20" t="s">
        <v>104</v>
      </c>
    </row>
    <row r="78" spans="1:15" ht="15.75" thickTop="1" x14ac:dyDescent="0.25">
      <c r="C78" t="s">
        <v>100</v>
      </c>
      <c r="D78" t="s">
        <v>137</v>
      </c>
      <c r="E78" t="s">
        <v>106</v>
      </c>
      <c r="F78" t="s">
        <v>138</v>
      </c>
    </row>
    <row r="79" spans="1:15" x14ac:dyDescent="0.25">
      <c r="B79" s="33" t="s">
        <v>99</v>
      </c>
      <c r="C79" s="40">
        <f>C61+C64+C74</f>
        <v>27420.859000423719</v>
      </c>
      <c r="D79" s="40">
        <f>D49+D53+D57+D64+D74</f>
        <v>308626.30242553435</v>
      </c>
      <c r="E79" s="34">
        <f>D79-C79</f>
        <v>281205.44342511066</v>
      </c>
    </row>
    <row r="80" spans="1:15" x14ac:dyDescent="0.25">
      <c r="B80" s="33" t="s">
        <v>105</v>
      </c>
      <c r="C80" s="41">
        <f>C79*70000</f>
        <v>1919460130.0296605</v>
      </c>
      <c r="D80" s="41">
        <f>D79*70000</f>
        <v>21603841169.787403</v>
      </c>
      <c r="E80" s="35">
        <f>D80-C80</f>
        <v>19684381039.757744</v>
      </c>
      <c r="F80" t="s">
        <v>131</v>
      </c>
    </row>
    <row r="82" spans="2:4" x14ac:dyDescent="0.25">
      <c r="B82" s="33" t="s">
        <v>151</v>
      </c>
      <c r="C82" s="40">
        <f>C79/D42*100000</f>
        <v>131.85374189567494</v>
      </c>
      <c r="D82" s="40">
        <f>D79/D42*100000</f>
        <v>1484.035668671215</v>
      </c>
    </row>
    <row r="83" spans="2:4" x14ac:dyDescent="0.25">
      <c r="B83" s="33" t="s">
        <v>152</v>
      </c>
      <c r="C83" s="45">
        <f>C80/D42*100000</f>
        <v>9229761.9326972459</v>
      </c>
      <c r="D83" s="45">
        <f>D80/D42*100000</f>
        <v>103882496.80698505</v>
      </c>
    </row>
  </sheetData>
  <mergeCells count="12">
    <mergeCell ref="E40:J40"/>
    <mergeCell ref="K40:O40"/>
    <mergeCell ref="E66:I66"/>
    <mergeCell ref="J66:N66"/>
    <mergeCell ref="A72:A74"/>
    <mergeCell ref="A62:A64"/>
    <mergeCell ref="A46:A49"/>
    <mergeCell ref="A50:A53"/>
    <mergeCell ref="A54:A57"/>
    <mergeCell ref="A58:A61"/>
    <mergeCell ref="A42:A44"/>
    <mergeCell ref="A68:A70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0" t="s">
        <v>130</v>
      </c>
      <c r="B1" t="s">
        <v>129</v>
      </c>
      <c r="C1" t="s">
        <v>128</v>
      </c>
    </row>
    <row r="2" spans="1:3" x14ac:dyDescent="0.25">
      <c r="A2" s="36">
        <v>1</v>
      </c>
      <c r="B2" s="46" t="s">
        <v>109</v>
      </c>
      <c r="C2" s="38" t="s">
        <v>140</v>
      </c>
    </row>
    <row r="3" spans="1:3" ht="45" x14ac:dyDescent="0.25">
      <c r="A3" s="36">
        <v>2</v>
      </c>
      <c r="B3" s="47" t="s">
        <v>107</v>
      </c>
      <c r="C3" s="37" t="s">
        <v>141</v>
      </c>
    </row>
    <row r="4" spans="1:3" ht="45" x14ac:dyDescent="0.25">
      <c r="A4" s="36">
        <v>3</v>
      </c>
      <c r="B4" s="48" t="s">
        <v>142</v>
      </c>
      <c r="C4" s="37" t="s">
        <v>143</v>
      </c>
    </row>
    <row r="5" spans="1:3" x14ac:dyDescent="0.25">
      <c r="A5" s="36">
        <v>4</v>
      </c>
      <c r="B5" s="47" t="s">
        <v>132</v>
      </c>
      <c r="C5" t="s">
        <v>144</v>
      </c>
    </row>
    <row r="6" spans="1:3" x14ac:dyDescent="0.25">
      <c r="A6" s="39">
        <v>5</v>
      </c>
      <c r="B6" s="47" t="s">
        <v>133</v>
      </c>
      <c r="C6" t="s">
        <v>145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CEAF-BA8D-46A4-B41F-A105DC1BD636}">
  <sheetPr codeName="Tabelle4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Hinweise</vt:lpstr>
      <vt:lpstr>Frontend</vt:lpstr>
      <vt:lpstr>Agglomeration road</vt:lpstr>
      <vt:lpstr>Fragen</vt:lpstr>
      <vt:lpstr>ERF HRA</vt:lpstr>
      <vt:lpstr>5dB to 1dB refinement</vt:lpstr>
      <vt:lpstr>Agglomeration rail</vt:lpstr>
      <vt:lpstr>Agglomeration air</vt:lpstr>
      <vt:lpstr>Agglomeration industry</vt:lpstr>
      <vt:lpstr>Major roads </vt:lpstr>
      <vt:lpstr>Major railways </vt:lpstr>
      <vt:lpstr>Major airports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2026-03-18T09:32:54Z</dcterms:modified>
</cp:coreProperties>
</file>