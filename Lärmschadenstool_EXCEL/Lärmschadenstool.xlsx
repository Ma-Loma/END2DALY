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93FB480C-37F5-41CF-835B-58E2367956AD}" xr6:coauthVersionLast="47" xr6:coauthVersionMax="47" xr10:uidLastSave="{00000000-0000-0000-0000-000000000000}"/>
  <bookViews>
    <workbookView xWindow="57480" yWindow="-120" windowWidth="29040" windowHeight="15840" firstSheet="1" activeTab="1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P23" i="13" l="1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D35" i="8" l="1"/>
  <c r="C14" i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I14" i="1"/>
  <c r="E13" i="2"/>
  <c r="F12" i="2"/>
  <c r="E12" i="2"/>
  <c r="B13" i="2" l="1"/>
  <c r="C36" i="8"/>
  <c r="C36" i="13"/>
  <c r="D12" i="2"/>
  <c r="D13" i="2"/>
  <c r="C13" i="2" s="1"/>
  <c r="E63" i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l="1"/>
  <c r="D36" i="13"/>
  <c r="D73" i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52" i="1"/>
  <c r="D53" i="1" s="1"/>
  <c r="D79" i="1" l="1"/>
  <c r="C61" i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<sst xmlns="http://purl.oclc.org/ooxml/spreadsheetml/main" count="301" uniqueCount="160">
  <si>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</si>
  <si>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</si>
  <si>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</si>
  <si>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</si>
  <si>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</si>
  <si>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</si>
  <si>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</si>
  <si>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</si>
  <si>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</si>
  <si>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</si>
  <si>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</si>
  <si>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</si>
  <si>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</si>
  <si>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</si>
  <si>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</si>
  <si>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</si>
  <si>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</si>
  <si>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</si>
  <si>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</si>
  <si>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</si>
  <si>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</si>
  <si>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</si>
  <si>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</si>
  <si>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</si>
  <si>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</si>
  <si>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</si>
  <si>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</si>
  <si>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</si>
  <si>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</si>
  <si>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</si>
  <si>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</si>
  <si>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</si>
  <si>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</si>
  <si>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</si>
  <si>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</si>
  <si>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</si>
  <si>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</si>
  <si>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</si>
  <si>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</si>
  <si>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</si>
  <si>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</si>
  <si>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</si>
  <si>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</si>
  <si>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</si>
  <si>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</si>
  <si>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</si>
  <si>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</si>
  <si>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</si>
  <si>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</si>
  <si>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</si>
  <si>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</si>
  <si>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</si>
  <si>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</si>
  <si>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</si>
  <si>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</si>
  <si>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</si>
  <si>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</si>
  <si>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</si>
  <si>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</si>
  <si>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</si>
  <si>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</si>
  <si>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</si>
  <si>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</si>
  <si>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</si>
  <si>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</si>
  <si>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</si>
  <si>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</si>
  <si>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</si>
  <si>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</si>
  <si>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</si>
  <si>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</si>
  <si>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</si>
  <si>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</si>
  <si>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</si>
  <si>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</si>
  <si>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</si>
  <si>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</si>
  <si>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</si>
  <si>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</si>
  <si>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</si>
  <si>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</si>
  <si>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</si>
  <si>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</si>
  <si>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</si>
  <si>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</si>
  <si>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</si>
  <si>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</si>
  <si>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</si>
  <si>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</si>
  <si>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</si>
  <si>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</si>
  <si>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</si>
  <si>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</si>
  <si>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</si>
  <si>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</si>
  <si>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</si>
  <si>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</si>
  <si>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</si>
  <si>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</si>
  <si>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</si>
  <si>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</si>
  <si>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</si>
  <si>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</si>
  <si>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</si>
  <si>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</si>
  <si>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</si>
  <si>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</si>
  <si>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</si>
  <si>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</si>
  <si>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</si>
  <si>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</si>
  <si>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</si>
  <si>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</si>
  <si>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</si>
  <si>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</si>
  <si>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</si>
  <si>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</si>
  <si>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</si>
  <si>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</si>
  <si>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</si>
  <si>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</si>
  <si>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</si>
  <si>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</si>
  <si>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</si>
  <si>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</si>
  <si>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</si>
  <si>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</si>
  <si>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</si>
  <si>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</si>
  <si>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</si>
  <si>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</si>
  <si>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</si>
  <si>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</si>
  <si>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</si>
  <si>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</si>
  <si>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</si>
  <si>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</si>
  <si>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</si>
  <si>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</si>
  <si>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</si>
  <si>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</si>
  <si>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</si>
  <si>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</si>
  <si>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</si>
  <si>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</si>
  <si>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</si>
  <si>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</si>
  <si>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</si>
  <si>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</si>
  <si>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</si>
  <si>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</si>
  <si>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</si>
  <si>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</si>
  <si>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</si>
  <si>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</si>
  <si>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</si>
  <si>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</si>
  <si>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</si>
  <si>
    <t>TEST 2 GitHub 26.05.2026</t>
  </si>
  <si>
    <t>TEST 1 GitHub 26.05.2026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</si>
</sst>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5"/>
  <sheetViews>
    <sheetView tabSelected="1" topLeftCell="A23" workbookViewId="0">
      <selection activeCell="B45" sqref="B45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155</v>
      </c>
      <c r="B10" s="134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36" t="s">
        <v>73</v>
      </c>
      <c r="E12" s="136"/>
      <c r="F12" s="136"/>
      <c r="G12" s="136"/>
      <c r="H12" s="136"/>
      <c r="I12" s="136"/>
      <c r="K12" s="132" t="s">
        <v>74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x14ac:dyDescent="0.25">
      <c r="A14" s="135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35"/>
      <c r="B15" s="119" t="s">
        <v>84</v>
      </c>
      <c r="C15" s="15"/>
      <c r="D15" s="120">
        <v>3762100</v>
      </c>
      <c r="E15" s="120">
        <v>3050900</v>
      </c>
      <c r="F15" s="120">
        <v>2479000</v>
      </c>
      <c r="G15" s="120">
        <v>1006400</v>
      </c>
      <c r="H15" s="120">
        <v>99800</v>
      </c>
      <c r="I15" s="120">
        <f t="shared" ref="I15:I23" si="0">SUM(D15:H15)</f>
        <v>10398200</v>
      </c>
      <c r="J15" s="121"/>
      <c r="K15" s="122">
        <v>3383500</v>
      </c>
      <c r="L15" s="122">
        <v>2682400</v>
      </c>
      <c r="M15" s="122">
        <v>1283500</v>
      </c>
      <c r="N15" s="122">
        <v>156200</v>
      </c>
      <c r="O15" s="122">
        <v>4900</v>
      </c>
      <c r="P15" s="122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137</v>
      </c>
      <c r="B32" s="134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24">
        <f>'Agglomeration road'!C79</f>
        <v>27420.859000423719</v>
      </c>
      <c r="D39" s="126">
        <f>'Agglomeration road'!D79</f>
        <v>308626.30242553435</v>
      </c>
    </row>
    <row r="40" spans="2:4" x14ac:dyDescent="0.25">
      <c r="B40" s="33" t="s">
        <v>104</v>
      </c>
      <c r="C40" s="125">
        <f>'Agglomeration road'!C80</f>
        <v>1919460130.0296605</v>
      </c>
      <c r="D40" s="127">
        <f>'Agglomeration road'!D80</f>
        <v>21603841169.787403</v>
      </c>
    </row>
    <row r="44" spans="2:4" x14ac:dyDescent="0.25">
      <c r="B44" s="4" t="s">
        <v>159</v>
      </c>
    </row>
    <row r="45" spans="2:4" x14ac:dyDescent="0.25">
      <c r="B45" s="4" t="s">
        <v>158</v>
      </c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topLeftCell="A8"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155</v>
      </c>
      <c r="B10" s="134"/>
    </row>
    <row r="11" spans="1:16" ht="15.75" thickTop="1" x14ac:dyDescent="0.25"/>
    <row r="12" spans="1:16" x14ac:dyDescent="0.25">
      <c r="A12" s="110" t="s">
        <v>150</v>
      </c>
      <c r="B12" s="110" t="s">
        <v>149</v>
      </c>
      <c r="D12" s="136" t="s">
        <v>73</v>
      </c>
      <c r="E12" s="136"/>
      <c r="F12" s="136"/>
      <c r="G12" s="136"/>
      <c r="H12" s="136"/>
      <c r="I12" s="136"/>
      <c r="K12" s="132" t="s">
        <v>74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117</v>
      </c>
      <c r="E13" s="104" t="s">
        <v>118</v>
      </c>
      <c r="F13" s="104" t="s">
        <v>119</v>
      </c>
      <c r="G13" s="104" t="s">
        <v>120</v>
      </c>
      <c r="H13" s="104" t="s">
        <v>121</v>
      </c>
      <c r="I13" s="105" t="s">
        <v>76</v>
      </c>
      <c r="K13" s="107" t="s">
        <v>122</v>
      </c>
      <c r="L13" s="107" t="s">
        <v>123</v>
      </c>
      <c r="M13" s="107" t="s">
        <v>124</v>
      </c>
      <c r="N13" s="107" t="s">
        <v>125</v>
      </c>
      <c r="O13" s="107" t="s">
        <v>126</v>
      </c>
      <c r="P13" s="108" t="s">
        <v>76</v>
      </c>
    </row>
    <row r="14" spans="1:16" ht="15.75" thickBot="1" x14ac:dyDescent="0.3">
      <c r="A14" s="135" t="s">
        <v>49</v>
      </c>
      <c r="B14" s="110" t="s">
        <v>77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35"/>
      <c r="B15" s="111" t="s">
        <v>84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78</v>
      </c>
      <c r="B18" s="110" t="s">
        <v>79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80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81</v>
      </c>
      <c r="B22" s="110" t="s">
        <v>82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83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137</v>
      </c>
      <c r="B32" s="134"/>
    </row>
    <row r="33" spans="2:4" ht="15.75" thickTop="1" x14ac:dyDescent="0.25"/>
    <row r="34" spans="2:4" x14ac:dyDescent="0.25">
      <c r="B34" s="110"/>
      <c r="C34" s="106" t="s">
        <v>73</v>
      </c>
      <c r="D34" s="109" t="s">
        <v>74</v>
      </c>
    </row>
    <row r="35" spans="2:4" x14ac:dyDescent="0.25">
      <c r="B35" s="110" t="s">
        <v>155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99</v>
      </c>
      <c r="D38" s="85" t="s">
        <v>135</v>
      </c>
    </row>
    <row r="39" spans="2:4" x14ac:dyDescent="0.25">
      <c r="B39" s="33" t="s">
        <v>98</v>
      </c>
      <c r="C39" s="128" t="s">
        <v>156</v>
      </c>
      <c r="D39" s="129" t="s">
        <v>156</v>
      </c>
    </row>
    <row r="40" spans="2:4" x14ac:dyDescent="0.25">
      <c r="B40" s="33" t="s">
        <v>104</v>
      </c>
      <c r="C40" s="130" t="s">
        <v>156</v>
      </c>
      <c r="D40" s="131" t="s">
        <v>156</v>
      </c>
    </row>
  </sheetData>
  <mergeCells count="8">
    <mergeCell ref="A18:A19"/>
    <mergeCell ref="A22:A23"/>
    <mergeCell ref="A32:B32"/>
    <mergeCell ref="A5:G5"/>
    <mergeCell ref="A10:B10"/>
    <mergeCell ref="D12:I12"/>
    <mergeCell ref="K12:P12"/>
    <mergeCell ref="A14:A15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workbookViewId="0">
      <selection activeCell="F78" sqref="F78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113</v>
      </c>
      <c r="D12" s="1" t="s">
        <v>112</v>
      </c>
      <c r="E12" s="1" t="s">
        <v>111</v>
      </c>
      <c r="F12" s="1" t="s">
        <v>114</v>
      </c>
      <c r="G12" s="1" t="s">
        <v>115</v>
      </c>
      <c r="H12" s="1" t="s">
        <v>116</v>
      </c>
      <c r="I12" s="1" t="s">
        <v>75</v>
      </c>
    </row>
    <row r="13" spans="1:9" x14ac:dyDescent="0.25">
      <c r="B13" s="1" t="s">
        <v>73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Frontend!$I$15+I13</f>
        <v>20796420.796399999</v>
      </c>
    </row>
    <row r="19" spans="1:13" x14ac:dyDescent="0.25">
      <c r="B19" t="s">
        <v>74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86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94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27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95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27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27">
        <v>45</v>
      </c>
      <c r="K32">
        <v>0</v>
      </c>
      <c r="L32">
        <v>1</v>
      </c>
      <c r="M32" t="s">
        <v>61</v>
      </c>
    </row>
    <row r="33" spans="1:21" x14ac:dyDescent="0.25">
      <c r="B33" t="s">
        <v>96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97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89</v>
      </c>
    </row>
    <row r="39" spans="1:21" ht="15.75" thickTop="1" x14ac:dyDescent="0.25"/>
    <row r="40" spans="1:21" x14ac:dyDescent="0.25">
      <c r="C40" s="15"/>
      <c r="E40" s="137" t="s">
        <v>91</v>
      </c>
      <c r="F40" s="137"/>
      <c r="G40" s="137"/>
      <c r="H40" s="137"/>
      <c r="I40" s="137"/>
      <c r="J40" s="137"/>
      <c r="K40" s="138" t="s">
        <v>90</v>
      </c>
      <c r="L40" s="139"/>
      <c r="M40" s="139"/>
      <c r="N40" s="139"/>
      <c r="O40" s="139"/>
    </row>
    <row r="41" spans="1:21" ht="30" x14ac:dyDescent="0.25">
      <c r="D41" s="15" t="s">
        <v>144</v>
      </c>
      <c r="E41" s="64" t="s">
        <v>113</v>
      </c>
      <c r="F41" s="64" t="s">
        <v>112</v>
      </c>
      <c r="G41" s="64" t="s">
        <v>111</v>
      </c>
      <c r="H41" s="64" t="s">
        <v>114</v>
      </c>
      <c r="I41" s="64" t="s">
        <v>115</v>
      </c>
      <c r="J41" s="64" t="s">
        <v>116</v>
      </c>
      <c r="K41" s="49" t="s">
        <v>117</v>
      </c>
      <c r="L41" s="50" t="s">
        <v>118</v>
      </c>
      <c r="M41" s="50" t="s">
        <v>119</v>
      </c>
      <c r="N41" s="50" t="s">
        <v>120</v>
      </c>
      <c r="O41" s="50" t="s">
        <v>121</v>
      </c>
    </row>
    <row r="42" spans="1:21" x14ac:dyDescent="0.25">
      <c r="A42" s="144" t="s">
        <v>101</v>
      </c>
      <c r="B42" s="43" t="s">
        <v>85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45"/>
      <c r="B43" s="15" t="s">
        <v>107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46"/>
      <c r="B44" s="19" t="s">
        <v>108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102</v>
      </c>
      <c r="C45" s="93" t="s">
        <v>99</v>
      </c>
      <c r="D45" s="82" t="s">
        <v>135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44" t="s">
        <v>57</v>
      </c>
      <c r="B46" s="17" t="s">
        <v>109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 t="shared" si="2"/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45"/>
      <c r="B47" s="15" t="s">
        <v>88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45"/>
      <c r="B48" s="15" t="s">
        <v>110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46"/>
      <c r="B49" s="42" t="s">
        <v>145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44" t="s">
        <v>62</v>
      </c>
      <c r="B50" s="17" t="s">
        <v>109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45"/>
      <c r="B51" s="15" t="s">
        <v>88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45"/>
      <c r="B52" s="15" t="s">
        <v>110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46"/>
      <c r="B53" s="42" t="s">
        <v>132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44" t="s">
        <v>65</v>
      </c>
      <c r="B54" s="17" t="s">
        <v>109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45"/>
      <c r="B55" s="15" t="s">
        <v>88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45"/>
      <c r="B56" s="15" t="s">
        <v>110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46"/>
      <c r="B57" s="42" t="s">
        <v>133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44" t="s">
        <v>69</v>
      </c>
      <c r="B58" s="17" t="s">
        <v>109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45"/>
      <c r="B59" s="15" t="s">
        <v>88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45"/>
      <c r="B60" s="15" t="s">
        <v>110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46"/>
      <c r="B61" s="42" t="s">
        <v>134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42" t="s">
        <v>45</v>
      </c>
      <c r="B62" s="27" t="s">
        <v>106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43"/>
      <c r="B63" s="27" t="s">
        <v>146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41"/>
      <c r="B64" s="44" t="s">
        <v>147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37" t="s">
        <v>92</v>
      </c>
      <c r="F66" s="137"/>
      <c r="G66" s="137"/>
      <c r="H66" s="137"/>
      <c r="I66" s="137"/>
      <c r="J66" s="138" t="s">
        <v>93</v>
      </c>
      <c r="K66" s="139"/>
      <c r="L66" s="139"/>
      <c r="M66" s="139"/>
      <c r="N66" s="139"/>
      <c r="O66" s="24"/>
    </row>
    <row r="67" spans="1:15" ht="30" x14ac:dyDescent="0.25">
      <c r="A67" s="21"/>
      <c r="B67" s="23"/>
      <c r="C67" s="23"/>
      <c r="D67" s="25" t="s">
        <v>87</v>
      </c>
      <c r="E67" s="64" t="s">
        <v>113</v>
      </c>
      <c r="F67" s="64" t="s">
        <v>112</v>
      </c>
      <c r="G67" s="64" t="s">
        <v>111</v>
      </c>
      <c r="H67" s="64" t="s">
        <v>114</v>
      </c>
      <c r="I67" s="64" t="s">
        <v>115</v>
      </c>
      <c r="J67" s="49" t="s">
        <v>122</v>
      </c>
      <c r="K67" s="50" t="s">
        <v>123</v>
      </c>
      <c r="L67" s="50" t="s">
        <v>124</v>
      </c>
      <c r="M67" s="50" t="s">
        <v>125</v>
      </c>
      <c r="N67" s="50" t="s">
        <v>126</v>
      </c>
      <c r="O67" s="15"/>
    </row>
    <row r="68" spans="1:15" x14ac:dyDescent="0.25">
      <c r="A68" s="144" t="s">
        <v>101</v>
      </c>
      <c r="B68" s="18" t="s">
        <v>85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45"/>
      <c r="B69" s="15" t="s">
        <v>107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46"/>
      <c r="B70" s="19" t="s">
        <v>108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102</v>
      </c>
      <c r="B71" s="32"/>
      <c r="C71" s="87" t="s">
        <v>99</v>
      </c>
      <c r="D71" s="97" t="s">
        <v>100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40" t="s">
        <v>53</v>
      </c>
      <c r="B72" s="27" t="s">
        <v>106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40"/>
      <c r="B73" s="27" t="s">
        <v>146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41"/>
      <c r="B74" s="44" t="s">
        <v>148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103</v>
      </c>
    </row>
    <row r="78" spans="1:15" ht="15.75" thickTop="1" x14ac:dyDescent="0.25">
      <c r="C78" t="s">
        <v>99</v>
      </c>
      <c r="D78" t="s">
        <v>135</v>
      </c>
      <c r="E78" t="s">
        <v>105</v>
      </c>
      <c r="F78" s="4" t="s">
        <v>157</v>
      </c>
    </row>
    <row r="79" spans="1:15" x14ac:dyDescent="0.25">
      <c r="B79" s="33" t="s">
        <v>98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104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151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153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136</v>
      </c>
    </row>
    <row r="86" spans="2:4" x14ac:dyDescent="0.25">
      <c r="B86" s="33" t="s">
        <v>154</v>
      </c>
      <c r="C86" s="118">
        <v>70000</v>
      </c>
    </row>
    <row r="87" spans="2:4" x14ac:dyDescent="0.25">
      <c r="B87" s="33" t="s">
        <v>152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129</v>
      </c>
      <c r="B1" t="s">
        <v>128</v>
      </c>
      <c r="C1" t="s">
        <v>127</v>
      </c>
    </row>
    <row r="2" spans="1:3" x14ac:dyDescent="0.25">
      <c r="A2" s="36">
        <v>1</v>
      </c>
      <c r="B2" s="46" t="s">
        <v>108</v>
      </c>
      <c r="C2" s="38" t="s">
        <v>138</v>
      </c>
    </row>
    <row r="3" spans="1:3" ht="45" x14ac:dyDescent="0.25">
      <c r="A3" s="36">
        <v>2</v>
      </c>
      <c r="B3" s="47" t="s">
        <v>106</v>
      </c>
      <c r="C3" s="37" t="s">
        <v>139</v>
      </c>
    </row>
    <row r="4" spans="1:3" ht="45" x14ac:dyDescent="0.25">
      <c r="A4" s="36">
        <v>3</v>
      </c>
      <c r="B4" s="48" t="s">
        <v>140</v>
      </c>
      <c r="C4" s="37" t="s">
        <v>141</v>
      </c>
    </row>
    <row r="5" spans="1:3" x14ac:dyDescent="0.25">
      <c r="A5" s="36">
        <v>4</v>
      </c>
      <c r="B5" s="47" t="s">
        <v>130</v>
      </c>
      <c r="C5" t="s">
        <v>142</v>
      </c>
    </row>
    <row r="6" spans="1:3" x14ac:dyDescent="0.25">
      <c r="A6" s="39">
        <v>5</v>
      </c>
      <c r="B6" s="47" t="s">
        <v>131</v>
      </c>
      <c r="C6" t="s">
        <v>143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topLeftCell="A7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2026-05-26T08:46:59Z</dcterms:modified>
</cp:coreProperties>
</file>