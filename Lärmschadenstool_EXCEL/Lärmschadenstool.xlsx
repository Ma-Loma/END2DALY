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9429B309-3E10-4FDE-97A6-BA5C75FFA764}" xr6:coauthVersionLast="47" xr6:coauthVersionMax="47" xr10:uidLastSave="{00000000-0000-0000-0000-000000000000}"/>
  <bookViews>
    <workbookView xWindow="57480" yWindow="-120" windowWidth="29040" windowHeight="15840" activeTab="1" xr2:uid="{00000000-000D-0000-FFFF-FFFF00000000}"/>
  </bookViews>
  <sheets>
    <sheet name="Frontend" sheetId="8" r:id="rId1"/>
    <sheet name="Agglomeration road" sheetId="1" r:id="rId2"/>
    <sheet name="Fragen" sheetId="11" r:id="rId3"/>
    <sheet name="ERF HRA" sheetId="10" r:id="rId4"/>
    <sheet name="5dB to 1dB refinement" sheetId="9" r:id="rId5"/>
    <sheet name="Agglomeration rail" sheetId="2" r:id="rId6"/>
    <sheet name="Agglomeration air" sheetId="3" r:id="rId7"/>
    <sheet name="Agglomeration industry" sheetId="4" r:id="rId8"/>
    <sheet name="Major roads " sheetId="5" r:id="rId9"/>
    <sheet name="Major railways " sheetId="6" r:id="rId10"/>
    <sheet name="Major airports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6" i="1" l="1"/>
  <c r="D76" i="1"/>
  <c r="F73" i="1"/>
  <c r="G73" i="1"/>
  <c r="H73" i="1"/>
  <c r="I73" i="1"/>
  <c r="J73" i="1"/>
  <c r="K73" i="1"/>
  <c r="L73" i="1"/>
  <c r="M73" i="1"/>
  <c r="N73" i="1"/>
  <c r="E73" i="1"/>
  <c r="F62" i="1"/>
  <c r="G62" i="1"/>
  <c r="H62" i="1"/>
  <c r="I62" i="1"/>
  <c r="J62" i="1"/>
  <c r="K62" i="1"/>
  <c r="L62" i="1"/>
  <c r="M62" i="1"/>
  <c r="N62" i="1"/>
  <c r="O62" i="1"/>
  <c r="E62" i="1"/>
  <c r="K69" i="1"/>
  <c r="L69" i="1"/>
  <c r="M69" i="1"/>
  <c r="N69" i="1"/>
  <c r="J69" i="1"/>
  <c r="G69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9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C13" i="1" l="1"/>
  <c r="E42" i="1" s="1"/>
  <c r="H13" i="1"/>
  <c r="J42" i="1" s="1"/>
  <c r="F13" i="1"/>
  <c r="H42" i="1" s="1"/>
  <c r="D13" i="1"/>
  <c r="F42" i="1" s="1"/>
  <c r="G14" i="1"/>
  <c r="I69" i="1" s="1"/>
  <c r="E13" i="1"/>
  <c r="G42" i="1" s="1"/>
  <c r="F14" i="1"/>
  <c r="H69" i="1" s="1"/>
  <c r="D14" i="1"/>
  <c r="F69" i="1" s="1"/>
  <c r="F13" i="2"/>
  <c r="G12" i="2"/>
  <c r="D69" i="1" l="1"/>
  <c r="E71" i="1" s="1"/>
  <c r="E74" i="1" s="1"/>
  <c r="D42" i="1"/>
  <c r="E44" i="1" s="1"/>
  <c r="I13" i="1"/>
  <c r="C18" i="1" s="1"/>
  <c r="C35" i="8" s="1"/>
  <c r="I14" i="1"/>
  <c r="E13" i="2"/>
  <c r="B13" i="2" s="1"/>
  <c r="D13" i="2"/>
  <c r="C13" i="2"/>
  <c r="F12" i="2"/>
  <c r="D12" i="2" s="1"/>
  <c r="E12" i="2"/>
  <c r="H71" i="1" l="1"/>
  <c r="H74" i="1" s="1"/>
  <c r="J71" i="1"/>
  <c r="J74" i="1" s="1"/>
  <c r="M71" i="1"/>
  <c r="M74" i="1" s="1"/>
  <c r="K71" i="1"/>
  <c r="K74" i="1" s="1"/>
  <c r="L71" i="1"/>
  <c r="L74" i="1" s="1"/>
  <c r="N71" i="1"/>
  <c r="N74" i="1" s="1"/>
  <c r="F71" i="1"/>
  <c r="F74" i="1" s="1"/>
  <c r="G71" i="1"/>
  <c r="G74" i="1" s="1"/>
  <c r="I71" i="1"/>
  <c r="I74" i="1" s="1"/>
  <c r="E63" i="1"/>
  <c r="F63" i="1"/>
  <c r="G63" i="1"/>
  <c r="H63" i="1"/>
  <c r="E59" i="1"/>
  <c r="I63" i="1"/>
  <c r="J63" i="1"/>
  <c r="E51" i="1"/>
  <c r="N63" i="1"/>
  <c r="E55" i="1"/>
  <c r="O63" i="1"/>
  <c r="E47" i="1"/>
  <c r="K63" i="1"/>
  <c r="L63" i="1"/>
  <c r="M63" i="1"/>
  <c r="N44" i="1"/>
  <c r="L44" i="1"/>
  <c r="K44" i="1"/>
  <c r="I44" i="1"/>
  <c r="O44" i="1"/>
  <c r="M44" i="1"/>
  <c r="H44" i="1"/>
  <c r="F44" i="1"/>
  <c r="G44" i="1"/>
  <c r="J44" i="1"/>
  <c r="C19" i="1"/>
  <c r="D35" i="8" s="1"/>
  <c r="C75" i="1" l="1"/>
  <c r="C64" i="1"/>
  <c r="C65" i="1" s="1"/>
  <c r="D75" i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D64" i="1"/>
  <c r="D65" i="1" s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81" i="1" l="1"/>
  <c r="C61" i="1"/>
  <c r="C81" i="1" s="1"/>
  <c r="C82" i="1" l="1"/>
  <c r="C39" i="8" s="1"/>
  <c r="C38" i="8"/>
  <c r="D82" i="1"/>
  <c r="D39" i="8" s="1"/>
  <c r="D38" i="8"/>
  <c r="E81" i="1"/>
  <c r="E82" i="1" l="1"/>
</calcChain>
</file>

<file path=xl/sharedStrings.xml><?xml version="1.0" encoding="utf-8"?>
<sst xmlns="http://schemas.openxmlformats.org/spreadsheetml/2006/main" count="250" uniqueCount="149">
  <si>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</si>
  <si>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</si>
  <si>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</si>
  <si>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</si>
  <si>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</si>
  <si>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</si>
  <si>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</si>
  <si>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</si>
  <si>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</si>
  <si>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</si>
  <si>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</si>
  <si>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</si>
  <si>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</si>
  <si>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</si>
  <si>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</si>
  <si>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</si>
  <si>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</si>
  <si>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</si>
  <si>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</si>
  <si>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</si>
  <si>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</si>
  <si>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</si>
  <si>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</si>
  <si>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</si>
  <si>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</si>
  <si>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</si>
  <si>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</si>
  <si>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</si>
  <si>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</si>
  <si>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</si>
  <si>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</si>
  <si>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</si>
  <si>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</si>
  <si>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</si>
  <si>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</si>
  <si>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</si>
  <si>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</si>
  <si>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</si>
  <si>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</si>
  <si>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</si>
  <si>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</si>
  <si>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</si>
  <si>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</si>
  <si>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</si>
  <si>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</si>
  <si>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</si>
  <si>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</si>
  <si>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</si>
  <si>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</si>
  <si>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</si>
  <si>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</si>
  <si>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</si>
  <si>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</si>
  <si>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</si>
  <si>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</si>
  <si>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</si>
  <si>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</si>
  <si>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</si>
  <si>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</si>
  <si>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</si>
  <si>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</si>
  <si>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</si>
  <si>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</si>
  <si>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</si>
  <si>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</si>
  <si>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</si>
  <si>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</si>
  <si>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</si>
  <si>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</si>
  <si>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</si>
  <si>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</si>
  <si>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</si>
  <si>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</si>
  <si>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</si>
  <si>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</si>
  <si>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</si>
  <si>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</si>
  <si>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</si>
  <si>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</si>
  <si>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</si>
  <si>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</si>
  <si>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</si>
  <si>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</si>
  <si>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</si>
  <si>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</si>
  <si>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</si>
  <si>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</si>
  <si>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</si>
  <si>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</si>
  <si>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</si>
  <si>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</si>
  <si>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</si>
  <si>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</si>
  <si>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</si>
  <si>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</si>
  <si>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</si>
  <si>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</si>
  <si>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</si>
  <si>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</si>
  <si>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</si>
  <si>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</si>
  <si>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</si>
  <si>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</si>
  <si>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</si>
  <si>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</si>
  <si>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</si>
  <si>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</si>
  <si>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</si>
  <si>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</si>
  <si>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</si>
  <si>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</si>
  <si>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</si>
  <si>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p[i]*ERF[Ni]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</si>
  <si>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</si>
  <si>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</si>
  <si>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</si>
  <si>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</si>
  <si>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</si>
  <si>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</si>
  <si>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</si>
  <si>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</si>
  <si>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</si>
  <si>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</si>
  <si>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</si>
  <si>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</si>
  <si>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</si>
  <si>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</si>
  <si>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</si>
  <si>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</si>
  <si>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</si>
  <si>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</si>
  <si>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</si>
  <si>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1 DALY = 70.000 EUR</t>
  </si>
  <si>
    <t>HA/ HSD</t>
  </si>
  <si>
    <t>YYL/ YLD für  mortality, CVD, Diabetes, IHD nach 2019 GBD</t>
  </si>
  <si>
    <t>YLL = YLLnat (= 0,2069215) ∙ AFtot * Summe der Exponierten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</si>
  <si>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</si>
  <si>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</si>
  <si>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</si>
  <si>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YLD = DW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</si>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</sst>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1" fillId="0" borderId="0" xfId="0" applyFont="1" applyBorder="1"/>
    <xf numFmtId="0" fontId="0" fillId="0" borderId="0" xfId="0" quotePrefix="1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4" fontId="0" fillId="0" borderId="5" xfId="0" applyNumberFormat="1" applyBorder="1"/>
    <xf numFmtId="0" fontId="7" fillId="0" borderId="4" xfId="0" applyFont="1" applyBorder="1"/>
    <xf numFmtId="0" fontId="0" fillId="0" borderId="0" xfId="0" applyNumberFormat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0" fillId="0" borderId="4" xfId="0" applyBorder="1" applyAlignment="1">
      <alignment wrapText="1"/>
    </xf>
    <xf numFmtId="166" fontId="0" fillId="0" borderId="5" xfId="0" applyNumberFormat="1" applyBorder="1" applyAlignment="1">
      <alignment wrapText="1"/>
    </xf>
    <xf numFmtId="0" fontId="8" fillId="0" borderId="0" xfId="0" applyFont="1"/>
    <xf numFmtId="0" fontId="8" fillId="0" borderId="4" xfId="0" applyFont="1" applyBorder="1"/>
    <xf numFmtId="4" fontId="9" fillId="0" borderId="4" xfId="0" applyNumberFormat="1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11" fillId="0" borderId="0" xfId="0" applyFont="1" applyBorder="1"/>
    <xf numFmtId="0" fontId="12" fillId="0" borderId="4" xfId="0" applyFont="1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9"/>
  <sheetViews>
    <sheetView topLeftCell="A15" workbookViewId="0">
      <selection activeCell="A30" sqref="A30:D39"/>
    </sheetView>
  </sheetViews>
  <sheetFormatPr baseColWidth="10" defaultRowHeight="15" x14ac:dyDescent="0.25"/>
  <cols>
    <col min="1" max="1" width="13" customWidth="1"/>
    <col min="2" max="2" width="33.7109375" bestFit="1" customWidth="1"/>
    <col min="3" max="3" width="16.7109375" bestFit="1" customWidth="1"/>
    <col min="4" max="4" width="19.2851562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51" t="s">
        <v>25</v>
      </c>
      <c r="B5" s="51"/>
      <c r="C5" s="51"/>
      <c r="D5" s="51"/>
      <c r="E5" s="51"/>
      <c r="F5" s="51"/>
      <c r="G5" s="51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52" t="s">
        <v>86</v>
      </c>
      <c r="B10" s="52"/>
    </row>
    <row r="11" spans="1:15" ht="15.75" thickTop="1" x14ac:dyDescent="0.25"/>
    <row r="12" spans="1:15" x14ac:dyDescent="0.25">
      <c r="C12" s="53" t="s">
        <v>73</v>
      </c>
      <c r="D12" s="53"/>
      <c r="E12" s="53"/>
      <c r="F12" s="53"/>
      <c r="G12" s="53"/>
      <c r="H12" s="53"/>
      <c r="J12" s="53" t="s">
        <v>74</v>
      </c>
      <c r="K12" s="53"/>
      <c r="L12" s="53"/>
      <c r="M12" s="53"/>
      <c r="N12" s="53"/>
      <c r="O12" s="53"/>
    </row>
    <row r="13" spans="1:15" ht="30" x14ac:dyDescent="0.25">
      <c r="C13" s="1" t="s">
        <v>119</v>
      </c>
      <c r="D13" s="1" t="s">
        <v>120</v>
      </c>
      <c r="E13" s="1" t="s">
        <v>121</v>
      </c>
      <c r="F13" s="1" t="s">
        <v>122</v>
      </c>
      <c r="G13" s="1" t="s">
        <v>123</v>
      </c>
      <c r="H13" t="s">
        <v>76</v>
      </c>
      <c r="J13" s="1" t="s">
        <v>124</v>
      </c>
      <c r="K13" s="1" t="s">
        <v>125</v>
      </c>
      <c r="L13" s="1" t="s">
        <v>126</v>
      </c>
      <c r="M13" s="1" t="s">
        <v>127</v>
      </c>
      <c r="N13" s="1" t="s">
        <v>128</v>
      </c>
      <c r="O13" t="s">
        <v>76</v>
      </c>
    </row>
    <row r="14" spans="1:15" x14ac:dyDescent="0.25">
      <c r="A14" s="54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54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54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54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54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54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52" t="s">
        <v>142</v>
      </c>
      <c r="B32" s="52"/>
    </row>
    <row r="33" spans="2:4" ht="15.75" thickTop="1" x14ac:dyDescent="0.25"/>
    <row r="34" spans="2:4" x14ac:dyDescent="0.25">
      <c r="C34" t="s">
        <v>73</v>
      </c>
      <c r="D34" t="s">
        <v>74</v>
      </c>
    </row>
    <row r="35" spans="2:4" x14ac:dyDescent="0.25">
      <c r="B35" t="s">
        <v>27</v>
      </c>
      <c r="C35" s="8">
        <f>'Agglomeration road'!C18</f>
        <v>20796420.796399999</v>
      </c>
      <c r="D35" s="8">
        <f>'Agglomeration road'!C19</f>
        <v>15021000</v>
      </c>
    </row>
    <row r="36" spans="2:4" x14ac:dyDescent="0.25">
      <c r="C36" s="8"/>
      <c r="D36" s="8"/>
    </row>
    <row r="37" spans="2:4" x14ac:dyDescent="0.25">
      <c r="C37" t="s">
        <v>100</v>
      </c>
      <c r="D37" t="s">
        <v>140</v>
      </c>
    </row>
    <row r="38" spans="2:4" x14ac:dyDescent="0.25">
      <c r="B38" s="44" t="s">
        <v>99</v>
      </c>
      <c r="C38" s="45">
        <f>'Agglomeration road'!C81</f>
        <v>6282.0875246781688</v>
      </c>
      <c r="D38" s="45">
        <f>'Agglomeration road'!D81</f>
        <v>278207.48309284041</v>
      </c>
    </row>
    <row r="39" spans="2:4" x14ac:dyDescent="0.25">
      <c r="B39" s="44" t="s">
        <v>105</v>
      </c>
      <c r="C39" s="66">
        <f>'Agglomeration road'!C82</f>
        <v>439746126.72747183</v>
      </c>
      <c r="D39" s="66">
        <f>'Agglomeration road'!D82</f>
        <v>19474523816.498829</v>
      </c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2"/>
  <sheetViews>
    <sheetView tabSelected="1" topLeftCell="A49" workbookViewId="0">
      <selection activeCell="C84" sqref="C84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115</v>
      </c>
      <c r="D12" s="1" t="s">
        <v>114</v>
      </c>
      <c r="E12" s="1" t="s">
        <v>113</v>
      </c>
      <c r="F12" s="1" t="s">
        <v>116</v>
      </c>
      <c r="G12" s="1" t="s">
        <v>117</v>
      </c>
      <c r="H12" s="1" t="s">
        <v>118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95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96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97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98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90</v>
      </c>
    </row>
    <row r="39" spans="1:21" ht="15.75" thickTop="1" x14ac:dyDescent="0.25"/>
    <row r="40" spans="1:21" x14ac:dyDescent="0.25">
      <c r="C40" s="15"/>
      <c r="D40" s="57" t="s">
        <v>92</v>
      </c>
      <c r="E40" s="57"/>
      <c r="F40" s="57"/>
      <c r="G40" s="57"/>
      <c r="H40" s="57"/>
      <c r="I40" s="57"/>
      <c r="J40" s="57" t="s">
        <v>91</v>
      </c>
      <c r="K40" s="57"/>
      <c r="L40" s="57"/>
      <c r="M40" s="57"/>
      <c r="N40" s="57"/>
    </row>
    <row r="41" spans="1:21" ht="30" x14ac:dyDescent="0.25">
      <c r="D41" s="15" t="s">
        <v>88</v>
      </c>
      <c r="E41" s="1" t="s">
        <v>115</v>
      </c>
      <c r="F41" s="1" t="s">
        <v>114</v>
      </c>
      <c r="G41" s="1" t="s">
        <v>113</v>
      </c>
      <c r="H41" s="1" t="s">
        <v>116</v>
      </c>
      <c r="I41" s="1" t="s">
        <v>117</v>
      </c>
      <c r="J41" s="1" t="s">
        <v>118</v>
      </c>
      <c r="K41" s="1" t="s">
        <v>119</v>
      </c>
      <c r="L41" s="1" t="s">
        <v>120</v>
      </c>
      <c r="M41" s="1" t="s">
        <v>121</v>
      </c>
      <c r="N41" s="1" t="s">
        <v>122</v>
      </c>
      <c r="O41" s="1" t="s">
        <v>123</v>
      </c>
    </row>
    <row r="42" spans="1:21" x14ac:dyDescent="0.25">
      <c r="A42" s="58" t="s">
        <v>102</v>
      </c>
      <c r="B42" s="64" t="s">
        <v>85</v>
      </c>
      <c r="C42" s="20"/>
      <c r="D42" s="3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60"/>
      <c r="B43" s="15" t="s">
        <v>108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59"/>
      <c r="B44" s="24" t="s">
        <v>109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27" t="s">
        <v>103</v>
      </c>
      <c r="C45" s="20" t="s">
        <v>100</v>
      </c>
      <c r="D45" s="20" t="s">
        <v>101</v>
      </c>
    </row>
    <row r="46" spans="1:21" x14ac:dyDescent="0.25">
      <c r="A46" s="58" t="s">
        <v>57</v>
      </c>
      <c r="B46" s="19" t="s">
        <v>110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60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60"/>
      <c r="B48" s="15" t="s">
        <v>111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59"/>
      <c r="B49" s="63" t="s">
        <v>135</v>
      </c>
      <c r="C49" s="43">
        <f>0.2069215*C48*D42</f>
        <v>202214.00228176778</v>
      </c>
      <c r="D49" s="22">
        <f>0.2069215*D48*D42</f>
        <v>254483.32856966133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58" t="s">
        <v>62</v>
      </c>
      <c r="B50" s="19" t="s">
        <v>110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60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60"/>
      <c r="B52" s="15" t="s">
        <v>111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59"/>
      <c r="B53" s="63" t="s">
        <v>136</v>
      </c>
      <c r="C53" s="43">
        <f>0.0115708*C52*D42</f>
        <v>6644.3900174318323</v>
      </c>
      <c r="D53" s="22">
        <f>0.0115708*D52*D42</f>
        <v>8431.0399571348571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58" t="s">
        <v>65</v>
      </c>
      <c r="B54" s="19" t="s">
        <v>110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60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60"/>
      <c r="B56" s="15" t="s">
        <v>111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59"/>
      <c r="B57" s="63" t="s">
        <v>137</v>
      </c>
      <c r="C57" s="43">
        <f>0.0059261*C56*D42</f>
        <v>6508.6260538531606</v>
      </c>
      <c r="D57" s="22">
        <f>0.0059261*D56*D42</f>
        <v>8171.0494489193279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58" t="s">
        <v>69</v>
      </c>
      <c r="B58" s="19" t="s">
        <v>110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60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60"/>
      <c r="B60" s="15" t="s">
        <v>111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59"/>
      <c r="B61" s="63" t="s">
        <v>138</v>
      </c>
      <c r="C61" s="22">
        <f>0.00127695*C60*D42</f>
        <v>980.35357762371382</v>
      </c>
      <c r="D61" s="43">
        <f>0.00127695*D60*D42</f>
        <v>980.35357762371382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58" t="s">
        <v>45</v>
      </c>
      <c r="B62" s="34" t="s">
        <v>107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54"/>
      <c r="B63" s="34" t="s">
        <v>112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54"/>
      <c r="B64" s="15" t="s">
        <v>111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59"/>
      <c r="B65" s="65" t="s">
        <v>139</v>
      </c>
      <c r="C65" s="36">
        <f>C64*$J$30*D42</f>
        <v>206.79908705445007</v>
      </c>
      <c r="D65" s="36">
        <f>D64*$J$30*D42</f>
        <v>235.11858371463006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26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26"/>
      <c r="B67" s="28"/>
      <c r="C67" s="28"/>
      <c r="D67" s="28"/>
      <c r="E67" s="29" t="s">
        <v>93</v>
      </c>
      <c r="F67" s="29"/>
      <c r="G67" s="29"/>
      <c r="H67" s="29"/>
      <c r="I67" s="29"/>
      <c r="J67" s="29" t="s">
        <v>94</v>
      </c>
      <c r="L67" s="29"/>
      <c r="M67" s="29"/>
      <c r="N67" s="29"/>
      <c r="O67" s="29"/>
    </row>
    <row r="68" spans="1:15" ht="30" x14ac:dyDescent="0.25">
      <c r="A68" s="26"/>
      <c r="B68" s="28"/>
      <c r="C68" s="28"/>
      <c r="D68" s="30" t="s">
        <v>88</v>
      </c>
      <c r="E68" s="1" t="s">
        <v>115</v>
      </c>
      <c r="F68" s="1" t="s">
        <v>114</v>
      </c>
      <c r="G68" s="1" t="s">
        <v>113</v>
      </c>
      <c r="H68" s="1" t="s">
        <v>116</v>
      </c>
      <c r="I68" s="1" t="s">
        <v>117</v>
      </c>
      <c r="J68" s="1" t="s">
        <v>124</v>
      </c>
      <c r="K68" s="1" t="s">
        <v>125</v>
      </c>
      <c r="L68" s="1" t="s">
        <v>126</v>
      </c>
      <c r="M68" s="1" t="s">
        <v>127</v>
      </c>
      <c r="N68" s="1" t="s">
        <v>128</v>
      </c>
      <c r="O68" s="15"/>
    </row>
    <row r="69" spans="1:15" x14ac:dyDescent="0.25">
      <c r="A69" s="58" t="s">
        <v>102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60"/>
      <c r="B70" s="15" t="s">
        <v>108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59"/>
      <c r="B71" s="24" t="s">
        <v>109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103</v>
      </c>
      <c r="B72" s="40"/>
      <c r="C72" s="40" t="s">
        <v>100</v>
      </c>
      <c r="D72" s="40" t="s">
        <v>101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55" t="s">
        <v>53</v>
      </c>
      <c r="B73" s="34" t="s">
        <v>107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55"/>
      <c r="B74" s="34" t="s">
        <v>112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55"/>
      <c r="B75" s="15" t="s">
        <v>111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56"/>
      <c r="B76" s="65" t="s">
        <v>139</v>
      </c>
      <c r="C76" s="36">
        <f>C75*J31*D69</f>
        <v>5094.9348600000048</v>
      </c>
      <c r="D76" s="36">
        <f>D75*J31*D69</f>
        <v>6886.9465334103088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25" t="s">
        <v>104</v>
      </c>
    </row>
    <row r="80" spans="1:15" ht="15.75" thickTop="1" x14ac:dyDescent="0.25">
      <c r="C80" t="s">
        <v>100</v>
      </c>
      <c r="D80" t="s">
        <v>140</v>
      </c>
      <c r="E80" t="s">
        <v>106</v>
      </c>
      <c r="F80" t="s">
        <v>141</v>
      </c>
    </row>
    <row r="81" spans="2:6" x14ac:dyDescent="0.25">
      <c r="B81" s="44" t="s">
        <v>99</v>
      </c>
      <c r="C81" s="61">
        <f>C61+C65+C76</f>
        <v>6282.0875246781688</v>
      </c>
      <c r="D81" s="61">
        <f>D49+D53+D57+D65+D76</f>
        <v>278207.48309284041</v>
      </c>
      <c r="E81" s="45">
        <f>D81-C81</f>
        <v>271925.39556816226</v>
      </c>
    </row>
    <row r="82" spans="2:6" x14ac:dyDescent="0.25">
      <c r="B82" s="44" t="s">
        <v>105</v>
      </c>
      <c r="C82" s="62">
        <f>C81*70000</f>
        <v>439746126.72747183</v>
      </c>
      <c r="D82" s="62">
        <f>D81*70000</f>
        <v>19474523816.498829</v>
      </c>
      <c r="E82" s="46">
        <f>D82-C82</f>
        <v>19034777689.771358</v>
      </c>
      <c r="F82" t="s">
        <v>132</v>
      </c>
    </row>
  </sheetData>
  <mergeCells count="10">
    <mergeCell ref="A73:A76"/>
    <mergeCell ref="J40:N40"/>
    <mergeCell ref="A62:A65"/>
    <mergeCell ref="A46:A49"/>
    <mergeCell ref="A50:A53"/>
    <mergeCell ref="A54:A57"/>
    <mergeCell ref="A58:A61"/>
    <mergeCell ref="D40:I40"/>
    <mergeCell ref="A42:A44"/>
    <mergeCell ref="A69:A7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8" t="s">
        <v>131</v>
      </c>
      <c r="B1" t="s">
        <v>130</v>
      </c>
      <c r="C1" t="s">
        <v>129</v>
      </c>
    </row>
    <row r="2" spans="1:3" x14ac:dyDescent="0.25">
      <c r="A2" s="47">
        <v>1</v>
      </c>
      <c r="B2" s="67" t="s">
        <v>109</v>
      </c>
      <c r="C2" s="49" t="s">
        <v>143</v>
      </c>
    </row>
    <row r="3" spans="1:3" ht="45" x14ac:dyDescent="0.25">
      <c r="A3" s="47">
        <v>2</v>
      </c>
      <c r="B3" s="68" t="s">
        <v>107</v>
      </c>
      <c r="C3" s="48" t="s">
        <v>144</v>
      </c>
    </row>
    <row r="4" spans="1:3" ht="45" x14ac:dyDescent="0.25">
      <c r="A4" s="47">
        <v>3</v>
      </c>
      <c r="B4" s="69" t="s">
        <v>145</v>
      </c>
      <c r="C4" s="48" t="s">
        <v>146</v>
      </c>
    </row>
    <row r="5" spans="1:3" x14ac:dyDescent="0.25">
      <c r="A5" s="47">
        <v>4</v>
      </c>
      <c r="B5" s="68" t="s">
        <v>133</v>
      </c>
      <c r="C5" t="s">
        <v>147</v>
      </c>
    </row>
    <row r="6" spans="1:3" x14ac:dyDescent="0.25">
      <c r="A6" s="50">
        <v>5</v>
      </c>
      <c r="B6" s="68" t="s">
        <v>134</v>
      </c>
      <c r="C6" t="s">
        <v>148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Frontend</vt:lpstr>
      <vt:lpstr>Agglomeration road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2026-03-17T13:01:28Z</dcterms:modified>
</cp:coreProperties>
</file>